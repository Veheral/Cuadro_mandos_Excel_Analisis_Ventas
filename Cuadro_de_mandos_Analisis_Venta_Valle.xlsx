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4f5817ddde9fba3/Escritorio/Proyectos/excel corrrespondencia_y_cuadro_de_mandos_Veronica_Hernandez/"/>
    </mc:Choice>
  </mc:AlternateContent>
  <xr:revisionPtr revIDLastSave="1" documentId="13_ncr:1_{087B5C92-FF0F-4B05-9EA4-B4CF1C8270D9}" xr6:coauthVersionLast="47" xr6:coauthVersionMax="47" xr10:uidLastSave="{DDB0877D-0730-47D6-AF73-6C0F65D6346A}"/>
  <bookViews>
    <workbookView xWindow="-110" yWindow="-110" windowWidth="19420" windowHeight="10300" activeTab="2" xr2:uid="{C847829E-211A-448A-A97B-741F12F2730B}"/>
  </bookViews>
  <sheets>
    <sheet name="Menu" sheetId="10" r:id="rId1"/>
    <sheet name="Datos" sheetId="1" r:id="rId2"/>
    <sheet name="Tablas" sheetId="7" r:id="rId3"/>
    <sheet name="Informe" sheetId="8" r:id="rId4"/>
    <sheet name="Hoja1" sheetId="5" state="hidden" r:id="rId5"/>
    <sheet name="Ejercicio" sheetId="3" r:id="rId6"/>
    <sheet name="combinación de correspondencia" sheetId="4" state="hidden" r:id="rId7"/>
  </sheets>
  <definedNames>
    <definedName name="NativeTimeline_Fecha_de_embarque">#N/A</definedName>
    <definedName name="NativeTimeline_Fecha_de_orden">#N/A</definedName>
    <definedName name="SegmentaciónDeDatos_Empresa_fletera">#N/A</definedName>
    <definedName name="SegmentaciónDeDatos_provincia">#N/A</definedName>
    <definedName name="SegmentaciónDeDatos_Region">#N/A</definedName>
    <definedName name="SegmentaciónDeDatos_Vendedo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8" l="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R14" i="8"/>
</calcChain>
</file>

<file path=xl/sharedStrings.xml><?xml version="1.0" encoding="utf-8"?>
<sst xmlns="http://schemas.openxmlformats.org/spreadsheetml/2006/main" count="2956" uniqueCount="133">
  <si>
    <t>Ordenes de compra 2018</t>
  </si>
  <si>
    <t>Fecha de orden</t>
  </si>
  <si>
    <t>Num. cliente</t>
  </si>
  <si>
    <t>Nombre cliente</t>
  </si>
  <si>
    <t>Vendedor</t>
  </si>
  <si>
    <t>Region</t>
  </si>
  <si>
    <t>Fecha de embarque</t>
  </si>
  <si>
    <t>Empresa fletera</t>
  </si>
  <si>
    <t>Forma de pago</t>
  </si>
  <si>
    <t>Categoría</t>
  </si>
  <si>
    <t>Precio unitario</t>
  </si>
  <si>
    <t>Cantidad</t>
  </si>
  <si>
    <t>Ingresos</t>
  </si>
  <si>
    <t>Tarifa de envío</t>
  </si>
  <si>
    <t>Empresa AA</t>
  </si>
  <si>
    <t>Empresa de embarque B</t>
  </si>
  <si>
    <t>Cheque</t>
  </si>
  <si>
    <t>Cerveza</t>
  </si>
  <si>
    <t>Bebidas</t>
  </si>
  <si>
    <t>Ciruelas secas</t>
  </si>
  <si>
    <t>Frutas secas</t>
  </si>
  <si>
    <t>Empresa D</t>
  </si>
  <si>
    <t>Empresa de embarque A</t>
  </si>
  <si>
    <t>Tarjeta de crédito</t>
  </si>
  <si>
    <t>Peras secas</t>
  </si>
  <si>
    <t>Manzanas secas</t>
  </si>
  <si>
    <t>Empresa L</t>
  </si>
  <si>
    <t>Té chai</t>
  </si>
  <si>
    <t>Café</t>
  </si>
  <si>
    <t>Empresa H</t>
  </si>
  <si>
    <t>Norte</t>
  </si>
  <si>
    <t>Empresa de embarque C</t>
  </si>
  <si>
    <t>Galletas de chocolate</t>
  </si>
  <si>
    <t>Productos horneados</t>
  </si>
  <si>
    <t>Empresa CC</t>
  </si>
  <si>
    <t>Chocolate</t>
  </si>
  <si>
    <t>Dulces</t>
  </si>
  <si>
    <t>Empresa C</t>
  </si>
  <si>
    <t>Efectivo</t>
  </si>
  <si>
    <t>Almejas</t>
  </si>
  <si>
    <t>Sopas</t>
  </si>
  <si>
    <t>Empresa F</t>
  </si>
  <si>
    <t>Salsa curry</t>
  </si>
  <si>
    <t>Salsas</t>
  </si>
  <si>
    <t>Empresa BB</t>
  </si>
  <si>
    <t>Empresa J</t>
  </si>
  <si>
    <t>Té verde</t>
  </si>
  <si>
    <t>Empresa G</t>
  </si>
  <si>
    <t>Mermeladas y jaleas</t>
  </si>
  <si>
    <t>Condimentos</t>
  </si>
  <si>
    <t>Empresa K</t>
  </si>
  <si>
    <t>Empresa A</t>
  </si>
  <si>
    <t>Carne de cangrejo</t>
  </si>
  <si>
    <t>Empresa I</t>
  </si>
  <si>
    <t>Ravioli</t>
  </si>
  <si>
    <t>Pasta</t>
  </si>
  <si>
    <t>Mozzarella</t>
  </si>
  <si>
    <t>Productos lácteos</t>
  </si>
  <si>
    <t>Almendras</t>
  </si>
  <si>
    <t>Empresa Y</t>
  </si>
  <si>
    <t>Empresa Z</t>
  </si>
  <si>
    <t>Cóctel de frutas</t>
  </si>
  <si>
    <t>Frutas y vegetales</t>
  </si>
  <si>
    <t>Pasta penne</t>
  </si>
  <si>
    <t>Aceite de oliva</t>
  </si>
  <si>
    <t>Aceite</t>
  </si>
  <si>
    <t>Mermelada de zarzamora</t>
  </si>
  <si>
    <t>Arroz de grano largo</t>
  </si>
  <si>
    <t>N orden</t>
  </si>
  <si>
    <t>Álava</t>
  </si>
  <si>
    <t>Alicante</t>
  </si>
  <si>
    <t>Almería</t>
  </si>
  <si>
    <t>La Coruña</t>
  </si>
  <si>
    <t>Madrid</t>
  </si>
  <si>
    <t>Palencia</t>
  </si>
  <si>
    <t>Salamanca</t>
  </si>
  <si>
    <t>Sevilla</t>
  </si>
  <si>
    <t>Valladolid</t>
  </si>
  <si>
    <t>Zamora</t>
  </si>
  <si>
    <t>Ceuta</t>
  </si>
  <si>
    <t>Melilla</t>
  </si>
  <si>
    <t>provincia</t>
  </si>
  <si>
    <t>Luis de la fuente</t>
  </si>
  <si>
    <t>María de la Peña</t>
  </si>
  <si>
    <t>David Léon</t>
  </si>
  <si>
    <t>Laila Moreno</t>
  </si>
  <si>
    <t>Juan de la Cruz</t>
  </si>
  <si>
    <t>Mario Ponche</t>
  </si>
  <si>
    <t>Alejando ameno</t>
  </si>
  <si>
    <t>Cesar del Valle</t>
  </si>
  <si>
    <t>Sur</t>
  </si>
  <si>
    <t>Este</t>
  </si>
  <si>
    <t>Oeste</t>
  </si>
  <si>
    <t>Mermelada de Fresa</t>
  </si>
  <si>
    <t>Bollos</t>
  </si>
  <si>
    <t>Jarabe de Arce</t>
  </si>
  <si>
    <t>Producto</t>
  </si>
  <si>
    <t xml:space="preserve">Carne </t>
  </si>
  <si>
    <t>Grano</t>
  </si>
  <si>
    <t xml:space="preserve">Empresa del Valle S.A. </t>
  </si>
  <si>
    <t>La empresa quiere analiza las ventas</t>
  </si>
  <si>
    <t xml:space="preserve">Le interesa saber: </t>
  </si>
  <si>
    <t>Ventas totales por mes</t>
  </si>
  <si>
    <t xml:space="preserve">grafico dínamico de columnas </t>
  </si>
  <si>
    <t>Ventas por vendedor</t>
  </si>
  <si>
    <t>grafico dínamico de barras</t>
  </si>
  <si>
    <t>Ventas por provincia</t>
  </si>
  <si>
    <t>Algun dato que consideres relevante.</t>
  </si>
  <si>
    <t xml:space="preserve">crea una combinación de correspondencia </t>
  </si>
  <si>
    <t>con el siguiente texto:</t>
  </si>
  <si>
    <t>Estimada empresa (nombre de la empresa)</t>
  </si>
  <si>
    <t>Gracias por confiar en nosotros.</t>
  </si>
  <si>
    <t>Nos gustaria que nos confirmara los siguientes datos.</t>
  </si>
  <si>
    <t xml:space="preserve">*solo hay que enviarlo a </t>
  </si>
  <si>
    <t>Alava y ceuta</t>
  </si>
  <si>
    <t>Etiquetas de fila</t>
  </si>
  <si>
    <t>Total general</t>
  </si>
  <si>
    <t>Suma de Ingresos</t>
  </si>
  <si>
    <t>(en blanco)</t>
  </si>
  <si>
    <t>&lt;05/01/2018</t>
  </si>
  <si>
    <t>ene</t>
  </si>
  <si>
    <t>feb</t>
  </si>
  <si>
    <t>mar</t>
  </si>
  <si>
    <t>abr</t>
  </si>
  <si>
    <t>may</t>
  </si>
  <si>
    <t>jun</t>
  </si>
  <si>
    <t>jul</t>
  </si>
  <si>
    <t>ago</t>
  </si>
  <si>
    <t>sep</t>
  </si>
  <si>
    <t>oct</t>
  </si>
  <si>
    <t>nov</t>
  </si>
  <si>
    <t>dic</t>
  </si>
  <si>
    <t>Etiquetas de columna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</si>
</sst>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_(&quot;$&quot;* #,##0.00_);_(&quot;$&quot;* \(#,##0.00\);_(&quot;$&quot;* &quot;-&quot;??_);_(@_)"/>
    <numFmt numFmtId="166" formatCode="#,##0.00\ &quot;€&quot;"/>
    <numFmt numFmtId="167" formatCode="#,##0.00\ 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i/>
      <u/>
      <sz val="14"/>
      <color theme="1"/>
      <name val="Calibri"/>
      <family val="2"/>
      <scheme val="minor"/>
    </font>
    <font>
      <b/>
      <u/>
      <sz val="14"/>
      <color theme="1"/>
      <name val="Calibri"/>
      <family val="2"/>
      <scheme val="minor"/>
    </font>
    <font>
      <sz val="11"/>
      <name val="Calibri"/>
      <family val="2"/>
      <scheme val="minor"/>
    </font>
    <font>
      <sz val="12"/>
      <color theme="0"/>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style="thin">
        <color theme="1"/>
      </top>
      <bottom style="thin">
        <color theme="1"/>
      </bottom>
      <diagonal/>
    </border>
  </borders>
  <cellStyleXfs count="3">
    <xf numFmtId="0" fontId="0" fillId="0" borderId="0"/>
    <xf numFmtId="165" fontId="1" fillId="0" borderId="0" applyFont="0" applyFill="0" applyBorder="0" applyAlignment="0" applyProtection="0"/>
    <xf numFmtId="165" fontId="1" fillId="0" borderId="0" applyFont="0" applyFill="0" applyBorder="0" applyAlignment="0" applyProtection="0"/>
  </cellStyleXfs>
  <cellXfs count="22">
    <xf numFmtId="0" fontId="0" fillId="0" borderId="0" xfId="0"/>
    <xf numFmtId="0" fontId="3" fillId="0" borderId="0" xfId="0" applyFont="1"/>
    <xf numFmtId="164" fontId="0" fillId="0" borderId="0" xfId="0" applyNumberFormat="1"/>
    <xf numFmtId="0" fontId="4" fillId="0" borderId="0" xfId="0" applyFont="1" applyAlignment="1">
      <alignment horizontal="left" indent="1"/>
    </xf>
    <xf numFmtId="0" fontId="2" fillId="2" borderId="0" xfId="0" applyFont="1" applyFill="1" applyAlignment="1">
      <alignment horizontal="center"/>
    </xf>
    <xf numFmtId="0" fontId="2" fillId="2" borderId="0" xfId="0" applyFont="1" applyFill="1"/>
    <xf numFmtId="164" fontId="2" fillId="2" borderId="0" xfId="0" applyNumberFormat="1" applyFont="1" applyFill="1"/>
    <xf numFmtId="0" fontId="0" fillId="0" borderId="0" xfId="0" applyAlignment="1">
      <alignment horizontal="center"/>
    </xf>
    <xf numFmtId="164" fontId="0" fillId="0" borderId="0" xfId="0" applyNumberFormat="1" applyAlignment="1">
      <alignment horizontal="center"/>
    </xf>
    <xf numFmtId="166" fontId="0" fillId="0" borderId="0" xfId="1" applyNumberFormat="1" applyFont="1"/>
    <xf numFmtId="166" fontId="0" fillId="0" borderId="0" xfId="2" applyNumberFormat="1" applyFont="1"/>
    <xf numFmtId="0" fontId="2" fillId="2" borderId="1" xfId="0" applyFont="1" applyFill="1" applyBorder="1"/>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6" fillId="0" borderId="0" xfId="0" applyFont="1"/>
    <xf numFmtId="0" fontId="5" fillId="0" borderId="0" xfId="0" applyFont="1"/>
    <xf numFmtId="14" fontId="3" fillId="0" borderId="0" xfId="0" applyNumberFormat="1" applyFont="1"/>
    <xf numFmtId="0" fontId="7" fillId="0" borderId="0" xfId="0" applyFont="1"/>
    <xf numFmtId="166" fontId="8" fillId="0" borderId="0" xfId="0" applyNumberFormat="1" applyFont="1"/>
  </cellXfs>
  <cellStyles count="3">
    <cellStyle name="Currency 2" xfId="2" xr:uid="{85365FF1-4622-4C70-B024-70483A05C4EF}"/>
    <cellStyle name="Moneda" xfId="1" builtinId="4"/>
    <cellStyle name="Normal" xfId="0" builtinId="0"/>
  </cellStyles>
  <dxfs count="12">
    <dxf>
      <numFmt numFmtId="166" formatCode="#,##0.00\ &quot;€&quot;"/>
    </dxf>
    <dxf>
      <font>
        <b val="0"/>
        <i val="0"/>
        <strike val="0"/>
        <condense val="0"/>
        <extend val="0"/>
        <outline val="0"/>
        <shadow val="0"/>
        <u val="none"/>
        <vertAlign val="baseline"/>
        <sz val="11"/>
        <color theme="1"/>
        <name val="Calibri"/>
        <family val="2"/>
        <scheme val="minor"/>
      </font>
      <numFmt numFmtId="166" formatCode="#,##0.00\ &quot;€&quot;"/>
    </dxf>
    <dxf>
      <numFmt numFmtId="167" formatCode="#,##0.00\ _€"/>
    </dxf>
    <dxf>
      <numFmt numFmtId="0" formatCode="General"/>
    </dxf>
    <dxf>
      <numFmt numFmtId="0" formatCode="General"/>
    </dxf>
    <dxf>
      <numFmt numFmtId="164" formatCode="dd\/mm\/yy"/>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[Cuadro_de_mandos_Veronica_Hernandez.xlsx]Tablas!TablaDinámica3</c:name>
    <c:fmtId val="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sz="1400">
                <a:solidFill>
                  <a:schemeClr val="accent6">
                    <a:lumMod val="75000"/>
                  </a:schemeClr>
                </a:solidFill>
              </a:rPr>
              <a:t>Total Empresas</a:t>
            </a:r>
            <a:r>
              <a:rPr lang="en-US" sz="1400" baseline="0">
                <a:solidFill>
                  <a:schemeClr val="accent6">
                    <a:lumMod val="75000"/>
                  </a:schemeClr>
                </a:solidFill>
              </a:rPr>
              <a:t> embarque</a:t>
            </a:r>
            <a:endParaRPr lang="en-US" sz="1400">
              <a:solidFill>
                <a:schemeClr val="accent6">
                  <a:lumMod val="75000"/>
                </a:schemeClr>
              </a:solidFill>
            </a:endParaRPr>
          </a:p>
        </c:rich>
      </c:tx>
      <c:layout>
        <c:manualLayout>
          <c:xMode val="edge"/>
          <c:yMode val="edge"/>
          <c:x val="0.28044056852863519"/>
          <c:y val="4.9789947522340922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Tablas!$H$34</c:f>
              <c:strCache>
                <c:ptCount val="1"/>
                <c:pt idx="0">
                  <c:v>Total</c:v>
                </c:pt>
              </c:strCache>
            </c:strRef>
          </c:tx>
          <c:spPr>
            <a:solidFill>
              <a:schemeClr val="accent1"/>
            </a:solidFill>
            <a:ln>
              <a:noFill/>
            </a:ln>
            <a:effectLst/>
          </c:spPr>
          <c:invertIfNegative val="0"/>
          <c:cat>
            <c:strRef>
              <c:f>Tablas!$G$35:$G$39</c:f>
              <c:strCache>
                <c:ptCount val="4"/>
                <c:pt idx="0">
                  <c:v>Empresa de embarque A</c:v>
                </c:pt>
                <c:pt idx="1">
                  <c:v>Empresa de embarque B</c:v>
                </c:pt>
                <c:pt idx="2">
                  <c:v>Empresa de embarque C</c:v>
                </c:pt>
                <c:pt idx="3">
                  <c:v>(en blanco)</c:v>
                </c:pt>
              </c:strCache>
            </c:strRef>
          </c:cat>
          <c:val>
            <c:numRef>
              <c:f>Tablas!$H$35:$H$39</c:f>
              <c:numCache>
                <c:formatCode>#,##0.00\ "€"</c:formatCode>
                <c:ptCount val="4"/>
                <c:pt idx="0">
                  <c:v>1738886.8</c:v>
                </c:pt>
                <c:pt idx="1">
                  <c:v>1643945.94</c:v>
                </c:pt>
                <c:pt idx="2">
                  <c:v>1904421.8200000008</c:v>
                </c:pt>
                <c:pt idx="3">
                  <c:v>803251.68</c:v>
                </c:pt>
              </c:numCache>
            </c:numRef>
          </c:val>
          <c:extLst>
            <c:ext xmlns:c16="http://schemas.microsoft.com/office/drawing/2014/chart" uri="{C3380CC4-5D6E-409C-BE32-E72D297353CC}">
              <c16:uniqueId val="{00000000-ABA3-4FFF-9580-F6BE22A309C1}"/>
            </c:ext>
          </c:extLst>
        </c:ser>
        <c:dLbls>
          <c:showLegendKey val="0"/>
          <c:showVal val="0"/>
          <c:showCatName val="0"/>
          <c:showSerName val="0"/>
          <c:showPercent val="0"/>
          <c:showBubbleSize val="0"/>
        </c:dLbls>
        <c:gapWidth val="219"/>
        <c:overlap val="-27"/>
        <c:axId val="1945438352"/>
        <c:axId val="1945439600"/>
      </c:barChart>
      <c:catAx>
        <c:axId val="194543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45439600"/>
        <c:crosses val="autoZero"/>
        <c:auto val="1"/>
        <c:lblAlgn val="ctr"/>
        <c:lblOffset val="100"/>
        <c:noMultiLvlLbl val="0"/>
      </c:catAx>
      <c:valAx>
        <c:axId val="1945439600"/>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454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[Cuadro_de_mandos_Veronica_Hernandez.xlsx]Tablas!TablaDinámica2</c:name>
    <c:fmtId val="6"/>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sz="1400">
                <a:solidFill>
                  <a:schemeClr val="accent6">
                    <a:lumMod val="75000"/>
                  </a:schemeClr>
                </a:solidFill>
              </a:rPr>
              <a:t>Total producto</a:t>
            </a:r>
            <a:r>
              <a:rPr lang="en-US" sz="1400" baseline="0">
                <a:solidFill>
                  <a:schemeClr val="accent6">
                    <a:lumMod val="75000"/>
                  </a:schemeClr>
                </a:solidFill>
              </a:rPr>
              <a:t> por empresas embarque</a:t>
            </a:r>
            <a:endParaRPr lang="en-US" sz="1400">
              <a:solidFill>
                <a:schemeClr val="accent6">
                  <a:lumMod val="75000"/>
                </a:schemeClr>
              </a:solidFill>
            </a:endParaRPr>
          </a:p>
        </c:rich>
      </c:tx>
      <c:layout>
        <c:manualLayout>
          <c:xMode val="edge"/>
          <c:yMode val="edge"/>
          <c:x val="0.29683218613428963"/>
          <c:y val="4.0639123691065475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Tablas!$E$5</c:f>
              <c:strCache>
                <c:ptCount val="1"/>
                <c:pt idx="0">
                  <c:v>Total</c:v>
                </c:pt>
              </c:strCache>
            </c:strRef>
          </c:tx>
          <c:spPr>
            <a:ln w="28575" cap="rnd">
              <a:solidFill>
                <a:schemeClr val="accent1"/>
              </a:solidFill>
              <a:round/>
            </a:ln>
            <a:effectLst/>
          </c:spPr>
          <c:marker>
            <c:symbol val="none"/>
          </c:marker>
          <c:cat>
            <c:multiLvlStrRef>
              <c:f>Tablas!$D$6:$D$53</c:f>
              <c:multiLvlStrCache>
                <c:ptCount val="43"/>
                <c:lvl>
                  <c:pt idx="0">
                    <c:v>Almejas</c:v>
                  </c:pt>
                  <c:pt idx="1">
                    <c:v>Arroz de grano largo</c:v>
                  </c:pt>
                  <c:pt idx="2">
                    <c:v>Bollos</c:v>
                  </c:pt>
                  <c:pt idx="3">
                    <c:v>Ciruelas secas</c:v>
                  </c:pt>
                  <c:pt idx="4">
                    <c:v>Condimentos</c:v>
                  </c:pt>
                  <c:pt idx="5">
                    <c:v>Galletas de chocolate</c:v>
                  </c:pt>
                  <c:pt idx="6">
                    <c:v>Manzanas secas</c:v>
                  </c:pt>
                  <c:pt idx="7">
                    <c:v>Mermelada de Fresa</c:v>
                  </c:pt>
                  <c:pt idx="8">
                    <c:v>Mermelada de zarzamora</c:v>
                  </c:pt>
                  <c:pt idx="9">
                    <c:v>Mozzarella</c:v>
                  </c:pt>
                  <c:pt idx="10">
                    <c:v>Peras secas</c:v>
                  </c:pt>
                  <c:pt idx="11">
                    <c:v>Ravioli</c:v>
                  </c:pt>
                  <c:pt idx="12">
                    <c:v>Almejas</c:v>
                  </c:pt>
                  <c:pt idx="13">
                    <c:v>Almendras</c:v>
                  </c:pt>
                  <c:pt idx="14">
                    <c:v>Café</c:v>
                  </c:pt>
                  <c:pt idx="15">
                    <c:v>Cerveza</c:v>
                  </c:pt>
                  <c:pt idx="16">
                    <c:v>Chocolate</c:v>
                  </c:pt>
                  <c:pt idx="17">
                    <c:v>Ciruelas secas</c:v>
                  </c:pt>
                  <c:pt idx="18">
                    <c:v>Cóctel de frutas</c:v>
                  </c:pt>
                  <c:pt idx="19">
                    <c:v>Galletas de chocolate</c:v>
                  </c:pt>
                  <c:pt idx="20">
                    <c:v>Jarabe de Arce</c:v>
                  </c:pt>
                  <c:pt idx="21">
                    <c:v>Salsa curry</c:v>
                  </c:pt>
                  <c:pt idx="22">
                    <c:v>Té chai</c:v>
                  </c:pt>
                  <c:pt idx="23">
                    <c:v>Té verde</c:v>
                  </c:pt>
                  <c:pt idx="24">
                    <c:v>(en blanco)</c:v>
                  </c:pt>
                  <c:pt idx="25">
                    <c:v>Aceite de oliva</c:v>
                  </c:pt>
                  <c:pt idx="26">
                    <c:v>Almejas</c:v>
                  </c:pt>
                  <c:pt idx="27">
                    <c:v>Café</c:v>
                  </c:pt>
                  <c:pt idx="28">
                    <c:v>Carne de cangrejo</c:v>
                  </c:pt>
                  <c:pt idx="29">
                    <c:v>Chocolate</c:v>
                  </c:pt>
                  <c:pt idx="30">
                    <c:v>Ciruelas secas</c:v>
                  </c:pt>
                  <c:pt idx="31">
                    <c:v>Galletas de chocolate</c:v>
                  </c:pt>
                  <c:pt idx="32">
                    <c:v>Manzanas secas</c:v>
                  </c:pt>
                  <c:pt idx="33">
                    <c:v>Mermelada de Fresa</c:v>
                  </c:pt>
                  <c:pt idx="34">
                    <c:v>Mozzarella</c:v>
                  </c:pt>
                  <c:pt idx="35">
                    <c:v>Peras secas</c:v>
                  </c:pt>
                  <c:pt idx="36">
                    <c:v>Salsa curry</c:v>
                  </c:pt>
                  <c:pt idx="37">
                    <c:v>Té verde</c:v>
                  </c:pt>
                  <c:pt idx="38">
                    <c:v>(en blanco)</c:v>
                  </c:pt>
                  <c:pt idx="39">
                    <c:v>Café</c:v>
                  </c:pt>
                  <c:pt idx="40">
                    <c:v>Pasta penne</c:v>
                  </c:pt>
                  <c:pt idx="41">
                    <c:v>Té chai</c:v>
                  </c:pt>
                  <c:pt idx="42">
                    <c:v>Té verde</c:v>
                  </c:pt>
                </c:lvl>
                <c:lvl>
                  <c:pt idx="0">
                    <c:v>Empresa de embarque A</c:v>
                  </c:pt>
                  <c:pt idx="12">
                    <c:v>Empresa de embarque B</c:v>
                  </c:pt>
                  <c:pt idx="25">
                    <c:v>Empresa de embarque C</c:v>
                  </c:pt>
                  <c:pt idx="39">
                    <c:v>(en blanco)</c:v>
                  </c:pt>
                </c:lvl>
              </c:multiLvlStrCache>
            </c:multiLvlStrRef>
          </c:cat>
          <c:val>
            <c:numRef>
              <c:f>Tablas!$E$6:$E$53</c:f>
              <c:numCache>
                <c:formatCode>#,##0.00\ "€"</c:formatCode>
                <c:ptCount val="43"/>
                <c:pt idx="0">
                  <c:v>42421.4</c:v>
                </c:pt>
                <c:pt idx="1">
                  <c:v>40376</c:v>
                </c:pt>
                <c:pt idx="2">
                  <c:v>88620</c:v>
                </c:pt>
                <c:pt idx="3">
                  <c:v>22442</c:v>
                </c:pt>
                <c:pt idx="4">
                  <c:v>210672</c:v>
                </c:pt>
                <c:pt idx="5">
                  <c:v>60922.399999999987</c:v>
                </c:pt>
                <c:pt idx="6">
                  <c:v>86072</c:v>
                </c:pt>
                <c:pt idx="7">
                  <c:v>123900</c:v>
                </c:pt>
                <c:pt idx="8">
                  <c:v>579474</c:v>
                </c:pt>
                <c:pt idx="9">
                  <c:v>258215.99999999997</c:v>
                </c:pt>
                <c:pt idx="10">
                  <c:v>70980</c:v>
                </c:pt>
                <c:pt idx="11">
                  <c:v>154791</c:v>
                </c:pt>
                <c:pt idx="12">
                  <c:v>43907.5</c:v>
                </c:pt>
                <c:pt idx="13">
                  <c:v>62160</c:v>
                </c:pt>
                <c:pt idx="14">
                  <c:v>143612</c:v>
                </c:pt>
                <c:pt idx="15">
                  <c:v>252644</c:v>
                </c:pt>
                <c:pt idx="16">
                  <c:v>120487.5</c:v>
                </c:pt>
                <c:pt idx="17">
                  <c:v>5733</c:v>
                </c:pt>
                <c:pt idx="18">
                  <c:v>97188</c:v>
                </c:pt>
                <c:pt idx="19">
                  <c:v>71355.199999999997</c:v>
                </c:pt>
                <c:pt idx="20">
                  <c:v>73220</c:v>
                </c:pt>
                <c:pt idx="21">
                  <c:v>707280</c:v>
                </c:pt>
                <c:pt idx="22">
                  <c:v>53424</c:v>
                </c:pt>
                <c:pt idx="23">
                  <c:v>12934.740000000002</c:v>
                </c:pt>
                <c:pt idx="25">
                  <c:v>186513.60000000003</c:v>
                </c:pt>
                <c:pt idx="26">
                  <c:v>149285.5</c:v>
                </c:pt>
                <c:pt idx="27">
                  <c:v>385112</c:v>
                </c:pt>
                <c:pt idx="28">
                  <c:v>356518.39999999997</c:v>
                </c:pt>
                <c:pt idx="29">
                  <c:v>129234</c:v>
                </c:pt>
                <c:pt idx="30">
                  <c:v>23618</c:v>
                </c:pt>
                <c:pt idx="31">
                  <c:v>45852.799999999996</c:v>
                </c:pt>
                <c:pt idx="32">
                  <c:v>47488</c:v>
                </c:pt>
                <c:pt idx="33">
                  <c:v>18200</c:v>
                </c:pt>
                <c:pt idx="34">
                  <c:v>205598.39999999997</c:v>
                </c:pt>
                <c:pt idx="35">
                  <c:v>73500</c:v>
                </c:pt>
                <c:pt idx="36">
                  <c:v>258720</c:v>
                </c:pt>
                <c:pt idx="37">
                  <c:v>24781.119999999995</c:v>
                </c:pt>
                <c:pt idx="39">
                  <c:v>528080</c:v>
                </c:pt>
                <c:pt idx="40">
                  <c:v>127680</c:v>
                </c:pt>
                <c:pt idx="41">
                  <c:v>118692</c:v>
                </c:pt>
                <c:pt idx="42">
                  <c:v>28799.679999999997</c:v>
                </c:pt>
              </c:numCache>
            </c:numRef>
          </c:val>
          <c:smooth val="0"/>
          <c:extLst>
            <c:ext xmlns:c16="http://schemas.microsoft.com/office/drawing/2014/chart" uri="{C3380CC4-5D6E-409C-BE32-E72D297353CC}">
              <c16:uniqueId val="{00000000-58F4-41EB-A53E-19577B36DFEB}"/>
            </c:ext>
          </c:extLst>
        </c:ser>
        <c:dLbls>
          <c:showLegendKey val="0"/>
          <c:showVal val="0"/>
          <c:showCatName val="0"/>
          <c:showSerName val="0"/>
          <c:showPercent val="0"/>
          <c:showBubbleSize val="0"/>
        </c:dLbls>
        <c:smooth val="0"/>
        <c:axId val="1945456240"/>
        <c:axId val="1945442512"/>
      </c:lineChart>
      <c:catAx>
        <c:axId val="194545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45442512"/>
        <c:crosses val="autoZero"/>
        <c:auto val="1"/>
        <c:lblAlgn val="ctr"/>
        <c:lblOffset val="100"/>
        <c:noMultiLvlLbl val="0"/>
      </c:catAx>
      <c:valAx>
        <c:axId val="194544251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4545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[Cuadro_de_mandos_Veronica_Hernandez.xlsx]Tablas!TablaDinámica4</c:name>
    <c:fmtId val="2"/>
  </c:pivotSource>
  <c:chart>
    <c:title>
      <c:tx>
        <c:rich>
          <a:bodyPr rot="0" spcFirstLastPara="1" vertOverflow="ellipsis" vert="horz" wrap="square" anchor="ctr" anchorCtr="1"/>
          <a:lstStyle/>
          <a:p>
            <a:pPr>
              <a:defRPr sz="1600" b="0" i="0" u="none" strike="noStrike" kern="1200" spc="0" baseline="0">
                <a:solidFill>
                  <a:schemeClr val="accent6">
                    <a:lumMod val="75000"/>
                  </a:schemeClr>
                </a:solidFill>
                <a:latin typeface="+mn-lt"/>
                <a:ea typeface="+mn-ea"/>
                <a:cs typeface="+mn-cs"/>
              </a:defRPr>
            </a:pPr>
            <a:r>
              <a:rPr lang="es-ES" sz="1600">
                <a:solidFill>
                  <a:schemeClr val="accent6">
                    <a:lumMod val="75000"/>
                  </a:schemeClr>
                </a:solidFill>
              </a:rPr>
              <a:t>Total</a:t>
            </a:r>
            <a:r>
              <a:rPr lang="es-ES" sz="1600" baseline="0">
                <a:solidFill>
                  <a:schemeClr val="accent6">
                    <a:lumMod val="75000"/>
                  </a:schemeClr>
                </a:solidFill>
              </a:rPr>
              <a:t> vendedor y zona</a:t>
            </a:r>
            <a:endParaRPr lang="es-ES" sz="1600">
              <a:solidFill>
                <a:schemeClr val="accent6">
                  <a:lumMod val="75000"/>
                </a:schemeClr>
              </a:solidFill>
            </a:endParaRPr>
          </a:p>
        </c:rich>
      </c:tx>
      <c:layout>
        <c:manualLayout>
          <c:xMode val="edge"/>
          <c:yMode val="edge"/>
          <c:x val="0.3577019220850669"/>
          <c:y val="4.9561046248529278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600" b="0" i="0" u="none" strike="noStrike" kern="1200" spc="0" baseline="0">
              <a:solidFill>
                <a:schemeClr val="accent6">
                  <a:lumMod val="7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Tablas!$H$5:$H$6</c:f>
              <c:strCache>
                <c:ptCount val="1"/>
                <c:pt idx="0">
                  <c:v>Este</c:v>
                </c:pt>
              </c:strCache>
            </c:strRef>
          </c:tx>
          <c:spPr>
            <a:solidFill>
              <a:schemeClr val="accent1"/>
            </a:solidFill>
            <a:ln>
              <a:noFill/>
            </a:ln>
            <a:effectLst/>
          </c:spPr>
          <c:invertIfNegative val="0"/>
          <c:cat>
            <c:strRef>
              <c:f>Tablas!$G$7:$G$15</c:f>
              <c:strCache>
                <c:ptCount val="8"/>
                <c:pt idx="0">
                  <c:v>Alejando ameno</c:v>
                </c:pt>
                <c:pt idx="1">
                  <c:v>Cesar del Valle</c:v>
                </c:pt>
                <c:pt idx="2">
                  <c:v>David Léon</c:v>
                </c:pt>
                <c:pt idx="3">
                  <c:v>Juan de la Cruz</c:v>
                </c:pt>
                <c:pt idx="4">
                  <c:v>Laila Moreno</c:v>
                </c:pt>
                <c:pt idx="5">
                  <c:v>Luis de la fuente</c:v>
                </c:pt>
                <c:pt idx="6">
                  <c:v>María de la Peña</c:v>
                </c:pt>
                <c:pt idx="7">
                  <c:v>Mario Ponche</c:v>
                </c:pt>
              </c:strCache>
            </c:strRef>
          </c:cat>
          <c:val>
            <c:numRef>
              <c:f>Tablas!$H$7:$H$15</c:f>
              <c:numCache>
                <c:formatCode>#,##0.00\ "€"</c:formatCode>
                <c:ptCount val="8"/>
                <c:pt idx="0">
                  <c:v>470761.89999999991</c:v>
                </c:pt>
                <c:pt idx="1">
                  <c:v>209212.5</c:v>
                </c:pt>
                <c:pt idx="2">
                  <c:v>40572</c:v>
                </c:pt>
                <c:pt idx="3">
                  <c:v>150752</c:v>
                </c:pt>
                <c:pt idx="4">
                  <c:v>125352.35999999999</c:v>
                </c:pt>
                <c:pt idx="5">
                  <c:v>232343.71999999997</c:v>
                </c:pt>
                <c:pt idx="6">
                  <c:v>196994</c:v>
                </c:pt>
                <c:pt idx="7">
                  <c:v>127281</c:v>
                </c:pt>
              </c:numCache>
            </c:numRef>
          </c:val>
          <c:extLst>
            <c:ext xmlns:c16="http://schemas.microsoft.com/office/drawing/2014/chart" uri="{C3380CC4-5D6E-409C-BE32-E72D297353CC}">
              <c16:uniqueId val="{00000000-22E7-4CB5-8B71-DCEE9120E5A9}"/>
            </c:ext>
          </c:extLst>
        </c:ser>
        <c:ser>
          <c:idx val="1"/>
          <c:order val="1"/>
          <c:tx>
            <c:strRef>
              <c:f>Tablas!$I$5:$I$6</c:f>
              <c:strCache>
                <c:ptCount val="1"/>
                <c:pt idx="0">
                  <c:v>Norte</c:v>
                </c:pt>
              </c:strCache>
            </c:strRef>
          </c:tx>
          <c:spPr>
            <a:solidFill>
              <a:schemeClr val="accent2"/>
            </a:solidFill>
            <a:ln>
              <a:noFill/>
            </a:ln>
            <a:effectLst/>
          </c:spPr>
          <c:invertIfNegative val="0"/>
          <c:cat>
            <c:strRef>
              <c:f>Tablas!$G$7:$G$15</c:f>
              <c:strCache>
                <c:ptCount val="8"/>
                <c:pt idx="0">
                  <c:v>Alejando ameno</c:v>
                </c:pt>
                <c:pt idx="1">
                  <c:v>Cesar del Valle</c:v>
                </c:pt>
                <c:pt idx="2">
                  <c:v>David Léon</c:v>
                </c:pt>
                <c:pt idx="3">
                  <c:v>Juan de la Cruz</c:v>
                </c:pt>
                <c:pt idx="4">
                  <c:v>Laila Moreno</c:v>
                </c:pt>
                <c:pt idx="5">
                  <c:v>Luis de la fuente</c:v>
                </c:pt>
                <c:pt idx="6">
                  <c:v>María de la Peña</c:v>
                </c:pt>
                <c:pt idx="7">
                  <c:v>Mario Ponche</c:v>
                </c:pt>
              </c:strCache>
            </c:strRef>
          </c:cat>
          <c:val>
            <c:numRef>
              <c:f>Tablas!$I$7:$I$15</c:f>
              <c:numCache>
                <c:formatCode>#,##0.00\ "€"</c:formatCode>
                <c:ptCount val="8"/>
                <c:pt idx="0">
                  <c:v>223908.15999999997</c:v>
                </c:pt>
                <c:pt idx="1">
                  <c:v>46979.1</c:v>
                </c:pt>
                <c:pt idx="2">
                  <c:v>40239.5</c:v>
                </c:pt>
                <c:pt idx="3">
                  <c:v>108461.5</c:v>
                </c:pt>
                <c:pt idx="4">
                  <c:v>136555.58000000002</c:v>
                </c:pt>
                <c:pt idx="5">
                  <c:v>413119.13999999996</c:v>
                </c:pt>
                <c:pt idx="6">
                  <c:v>349483.4</c:v>
                </c:pt>
                <c:pt idx="7">
                  <c:v>183620.64</c:v>
                </c:pt>
              </c:numCache>
            </c:numRef>
          </c:val>
          <c:extLst>
            <c:ext xmlns:c16="http://schemas.microsoft.com/office/drawing/2014/chart" uri="{C3380CC4-5D6E-409C-BE32-E72D297353CC}">
              <c16:uniqueId val="{0000000C-22E7-4CB5-8B71-DCEE9120E5A9}"/>
            </c:ext>
          </c:extLst>
        </c:ser>
        <c:ser>
          <c:idx val="2"/>
          <c:order val="2"/>
          <c:tx>
            <c:strRef>
              <c:f>Tablas!$J$5:$J$6</c:f>
              <c:strCache>
                <c:ptCount val="1"/>
                <c:pt idx="0">
                  <c:v>Oeste</c:v>
                </c:pt>
              </c:strCache>
            </c:strRef>
          </c:tx>
          <c:spPr>
            <a:solidFill>
              <a:schemeClr val="accent3"/>
            </a:solidFill>
            <a:ln>
              <a:noFill/>
            </a:ln>
            <a:effectLst/>
          </c:spPr>
          <c:invertIfNegative val="0"/>
          <c:cat>
            <c:strRef>
              <c:f>Tablas!$G$7:$G$15</c:f>
              <c:strCache>
                <c:ptCount val="8"/>
                <c:pt idx="0">
                  <c:v>Alejando ameno</c:v>
                </c:pt>
                <c:pt idx="1">
                  <c:v>Cesar del Valle</c:v>
                </c:pt>
                <c:pt idx="2">
                  <c:v>David Léon</c:v>
                </c:pt>
                <c:pt idx="3">
                  <c:v>Juan de la Cruz</c:v>
                </c:pt>
                <c:pt idx="4">
                  <c:v>Laila Moreno</c:v>
                </c:pt>
                <c:pt idx="5">
                  <c:v>Luis de la fuente</c:v>
                </c:pt>
                <c:pt idx="6">
                  <c:v>María de la Peña</c:v>
                </c:pt>
                <c:pt idx="7">
                  <c:v>Mario Ponche</c:v>
                </c:pt>
              </c:strCache>
            </c:strRef>
          </c:cat>
          <c:val>
            <c:numRef>
              <c:f>Tablas!$J$7:$J$15</c:f>
              <c:numCache>
                <c:formatCode>#,##0.00\ "€"</c:formatCode>
                <c:ptCount val="8"/>
                <c:pt idx="0">
                  <c:v>269215.65999999997</c:v>
                </c:pt>
                <c:pt idx="1">
                  <c:v>145699.39999999997</c:v>
                </c:pt>
                <c:pt idx="2">
                  <c:v>98000</c:v>
                </c:pt>
                <c:pt idx="3">
                  <c:v>192689</c:v>
                </c:pt>
                <c:pt idx="4">
                  <c:v>169995</c:v>
                </c:pt>
                <c:pt idx="5">
                  <c:v>336467.46</c:v>
                </c:pt>
                <c:pt idx="6">
                  <c:v>165947.6</c:v>
                </c:pt>
                <c:pt idx="7">
                  <c:v>35323.68</c:v>
                </c:pt>
              </c:numCache>
            </c:numRef>
          </c:val>
          <c:extLst>
            <c:ext xmlns:c16="http://schemas.microsoft.com/office/drawing/2014/chart" uri="{C3380CC4-5D6E-409C-BE32-E72D297353CC}">
              <c16:uniqueId val="{0000000D-22E7-4CB5-8B71-DCEE9120E5A9}"/>
            </c:ext>
          </c:extLst>
        </c:ser>
        <c:ser>
          <c:idx val="3"/>
          <c:order val="3"/>
          <c:tx>
            <c:strRef>
              <c:f>Tablas!$K$5:$K$6</c:f>
              <c:strCache>
                <c:ptCount val="1"/>
                <c:pt idx="0">
                  <c:v>Sur</c:v>
                </c:pt>
              </c:strCache>
            </c:strRef>
          </c:tx>
          <c:spPr>
            <a:solidFill>
              <a:schemeClr val="accent4"/>
            </a:solidFill>
            <a:ln>
              <a:noFill/>
            </a:ln>
            <a:effectLst/>
          </c:spPr>
          <c:invertIfNegative val="0"/>
          <c:cat>
            <c:strRef>
              <c:f>Tablas!$G$7:$G$15</c:f>
              <c:strCache>
                <c:ptCount val="8"/>
                <c:pt idx="0">
                  <c:v>Alejando ameno</c:v>
                </c:pt>
                <c:pt idx="1">
                  <c:v>Cesar del Valle</c:v>
                </c:pt>
                <c:pt idx="2">
                  <c:v>David Léon</c:v>
                </c:pt>
                <c:pt idx="3">
                  <c:v>Juan de la Cruz</c:v>
                </c:pt>
                <c:pt idx="4">
                  <c:v>Laila Moreno</c:v>
                </c:pt>
                <c:pt idx="5">
                  <c:v>Luis de la fuente</c:v>
                </c:pt>
                <c:pt idx="6">
                  <c:v>María de la Peña</c:v>
                </c:pt>
                <c:pt idx="7">
                  <c:v>Mario Ponche</c:v>
                </c:pt>
              </c:strCache>
            </c:strRef>
          </c:cat>
          <c:val>
            <c:numRef>
              <c:f>Tablas!$K$7:$K$15</c:f>
              <c:numCache>
                <c:formatCode>#,##0.00\ "€"</c:formatCode>
                <c:ptCount val="8"/>
                <c:pt idx="0">
                  <c:v>495507.03999999992</c:v>
                </c:pt>
                <c:pt idx="1">
                  <c:v>53537.399999999994</c:v>
                </c:pt>
                <c:pt idx="2">
                  <c:v>50095.5</c:v>
                </c:pt>
                <c:pt idx="3">
                  <c:v>71949.5</c:v>
                </c:pt>
                <c:pt idx="4">
                  <c:v>143427.20000000001</c:v>
                </c:pt>
                <c:pt idx="5">
                  <c:v>331946.29999999993</c:v>
                </c:pt>
                <c:pt idx="6">
                  <c:v>228102</c:v>
                </c:pt>
                <c:pt idx="7">
                  <c:v>246967</c:v>
                </c:pt>
              </c:numCache>
            </c:numRef>
          </c:val>
          <c:extLst>
            <c:ext xmlns:c16="http://schemas.microsoft.com/office/drawing/2014/chart" uri="{C3380CC4-5D6E-409C-BE32-E72D297353CC}">
              <c16:uniqueId val="{00000011-22E7-4CB5-8B71-DCEE9120E5A9}"/>
            </c:ext>
          </c:extLst>
        </c:ser>
        <c:dLbls>
          <c:showLegendKey val="0"/>
          <c:showVal val="0"/>
          <c:showCatName val="0"/>
          <c:showSerName val="0"/>
          <c:showPercent val="0"/>
          <c:showBubbleSize val="0"/>
        </c:dLbls>
        <c:gapWidth val="219"/>
        <c:overlap val="-27"/>
        <c:axId val="1876451200"/>
        <c:axId val="1876462432"/>
      </c:barChart>
      <c:catAx>
        <c:axId val="18764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6462432"/>
        <c:crosses val="autoZero"/>
        <c:auto val="1"/>
        <c:lblAlgn val="ctr"/>
        <c:lblOffset val="100"/>
        <c:noMultiLvlLbl val="0"/>
      </c:catAx>
      <c:valAx>
        <c:axId val="187646243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645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[Cuadro_de_mandos_Veronica_Hernandez.xlsx]Tablas!TablaDinámica1</c:name>
    <c:fmtId val="2"/>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sz="1400">
                <a:solidFill>
                  <a:schemeClr val="accent6">
                    <a:lumMod val="75000"/>
                  </a:schemeClr>
                </a:solidFill>
              </a:rPr>
              <a:t>Total Provincia</a:t>
            </a:r>
          </a:p>
        </c:rich>
      </c:tx>
      <c:layout>
        <c:manualLayout>
          <c:xMode val="edge"/>
          <c:yMode val="edge"/>
          <c:x val="0.41266836991120792"/>
          <c:y val="2.9301413377993277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Tablas!$H$18</c:f>
              <c:strCache>
                <c:ptCount val="1"/>
                <c:pt idx="0">
                  <c:v>Total</c:v>
                </c:pt>
              </c:strCache>
            </c:strRef>
          </c:tx>
          <c:spPr>
            <a:solidFill>
              <a:schemeClr val="accent1"/>
            </a:solidFill>
            <a:ln>
              <a:noFill/>
            </a:ln>
            <a:effectLst/>
          </c:spPr>
          <c:invertIfNegative val="0"/>
          <c:cat>
            <c:strRef>
              <c:f>Tablas!$G$19:$G$31</c:f>
              <c:strCache>
                <c:ptCount val="12"/>
                <c:pt idx="0">
                  <c:v>Álava</c:v>
                </c:pt>
                <c:pt idx="1">
                  <c:v>Alicante</c:v>
                </c:pt>
                <c:pt idx="2">
                  <c:v>Almería</c:v>
                </c:pt>
                <c:pt idx="3">
                  <c:v>Ceuta</c:v>
                </c:pt>
                <c:pt idx="4">
                  <c:v>La Coruña</c:v>
                </c:pt>
                <c:pt idx="5">
                  <c:v>Madrid</c:v>
                </c:pt>
                <c:pt idx="6">
                  <c:v>Melilla</c:v>
                </c:pt>
                <c:pt idx="7">
                  <c:v>Palencia</c:v>
                </c:pt>
                <c:pt idx="8">
                  <c:v>Salamanca</c:v>
                </c:pt>
                <c:pt idx="9">
                  <c:v>Sevilla</c:v>
                </c:pt>
                <c:pt idx="10">
                  <c:v>Valladolid</c:v>
                </c:pt>
                <c:pt idx="11">
                  <c:v>Zamora</c:v>
                </c:pt>
              </c:strCache>
            </c:strRef>
          </c:cat>
          <c:val>
            <c:numRef>
              <c:f>Tablas!$H$19:$H$31</c:f>
              <c:numCache>
                <c:formatCode>#,##0.00\ "€"</c:formatCode>
                <c:ptCount val="12"/>
                <c:pt idx="0">
                  <c:v>378075.32</c:v>
                </c:pt>
                <c:pt idx="1">
                  <c:v>240856</c:v>
                </c:pt>
                <c:pt idx="2">
                  <c:v>702034.61999999988</c:v>
                </c:pt>
                <c:pt idx="3">
                  <c:v>611842.00000000012</c:v>
                </c:pt>
                <c:pt idx="4">
                  <c:v>455428.4</c:v>
                </c:pt>
                <c:pt idx="5">
                  <c:v>575330.14</c:v>
                </c:pt>
                <c:pt idx="6">
                  <c:v>515759.85999999987</c:v>
                </c:pt>
                <c:pt idx="7">
                  <c:v>215117</c:v>
                </c:pt>
                <c:pt idx="8">
                  <c:v>702776.9</c:v>
                </c:pt>
                <c:pt idx="9">
                  <c:v>228907</c:v>
                </c:pt>
                <c:pt idx="10">
                  <c:v>940527</c:v>
                </c:pt>
                <c:pt idx="11">
                  <c:v>523852</c:v>
                </c:pt>
              </c:numCache>
            </c:numRef>
          </c:val>
          <c:extLst>
            <c:ext xmlns:c16="http://schemas.microsoft.com/office/drawing/2014/chart" uri="{C3380CC4-5D6E-409C-BE32-E72D297353CC}">
              <c16:uniqueId val="{00000000-B74E-4C02-9D09-3048038CDBA7}"/>
            </c:ext>
          </c:extLst>
        </c:ser>
        <c:dLbls>
          <c:showLegendKey val="0"/>
          <c:showVal val="0"/>
          <c:showCatName val="0"/>
          <c:showSerName val="0"/>
          <c:showPercent val="0"/>
          <c:showBubbleSize val="0"/>
        </c:dLbls>
        <c:gapWidth val="219"/>
        <c:overlap val="-27"/>
        <c:axId val="2007879104"/>
        <c:axId val="2007874112"/>
      </c:barChart>
      <c:catAx>
        <c:axId val="200787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7874112"/>
        <c:crosses val="autoZero"/>
        <c:auto val="1"/>
        <c:lblAlgn val="ctr"/>
        <c:lblOffset val="100"/>
        <c:noMultiLvlLbl val="0"/>
      </c:catAx>
      <c:valAx>
        <c:axId val="200787411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787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[Cuadro_de_mandos_Veronica_Hernandez.xlsx]Tablas!TablaDinámica6</c:name>
    <c:fmtId val="5"/>
  </c:pivotSource>
  <c:chart>
    <c:title>
      <c:tx>
        <c:rich>
          <a:bodyPr rot="0" spcFirstLastPara="1" vertOverflow="ellipsis" vert="horz" wrap="square" anchor="ctr" anchorCtr="1"/>
          <a:lstStyle/>
          <a:p>
            <a:pPr>
              <a:defRPr sz="1600" b="1" i="0" u="none" strike="noStrike" kern="1200" cap="all" spc="120" normalizeH="0" baseline="0">
                <a:solidFill>
                  <a:schemeClr val="accent6">
                    <a:lumMod val="75000"/>
                  </a:schemeClr>
                </a:solidFill>
                <a:latin typeface="+mn-lt"/>
                <a:ea typeface="+mn-ea"/>
                <a:cs typeface="+mn-cs"/>
              </a:defRPr>
            </a:pPr>
            <a:r>
              <a:rPr lang="es-ES">
                <a:solidFill>
                  <a:schemeClr val="accent6">
                    <a:lumMod val="75000"/>
                  </a:schemeClr>
                </a:solidFill>
              </a:rPr>
              <a:t>Total por mes</a:t>
            </a:r>
          </a:p>
        </c:rich>
      </c:tx>
      <c:layout>
        <c:manualLayout>
          <c:xMode val="edge"/>
          <c:yMode val="edge"/>
          <c:x val="0.32889114432421518"/>
          <c:y val="4.5171027986397778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accent6">
                  <a:lumMod val="75000"/>
                </a:schemeClr>
              </a:solidFill>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Tablas!$K$18</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Tablas!$J$19:$J$32</c:f>
              <c:strCache>
                <c:ptCount val="13"/>
                <c:pt idx="0">
                  <c:v>&lt;05/01/2018</c:v>
                </c:pt>
                <c:pt idx="1">
                  <c:v>ene</c:v>
                </c:pt>
                <c:pt idx="2">
                  <c:v>feb</c:v>
                </c:pt>
                <c:pt idx="3">
                  <c:v>mar</c:v>
                </c:pt>
                <c:pt idx="4">
                  <c:v>abr</c:v>
                </c:pt>
                <c:pt idx="5">
                  <c:v>may</c:v>
                </c:pt>
                <c:pt idx="6">
                  <c:v>jun</c:v>
                </c:pt>
                <c:pt idx="7">
                  <c:v>jul</c:v>
                </c:pt>
                <c:pt idx="8">
                  <c:v>ago</c:v>
                </c:pt>
                <c:pt idx="9">
                  <c:v>sep</c:v>
                </c:pt>
                <c:pt idx="10">
                  <c:v>oct</c:v>
                </c:pt>
                <c:pt idx="11">
                  <c:v>nov</c:v>
                </c:pt>
                <c:pt idx="12">
                  <c:v>dic</c:v>
                </c:pt>
              </c:strCache>
            </c:strRef>
          </c:cat>
          <c:val>
            <c:numRef>
              <c:f>Tablas!$K$19:$K$32</c:f>
              <c:numCache>
                <c:formatCode>#,##0.00\ "€"</c:formatCode>
                <c:ptCount val="13"/>
                <c:pt idx="0">
                  <c:v>1215363.8</c:v>
                </c:pt>
                <c:pt idx="1">
                  <c:v>388493.00000000006</c:v>
                </c:pt>
                <c:pt idx="2">
                  <c:v>158487.70000000001</c:v>
                </c:pt>
                <c:pt idx="3">
                  <c:v>394675.39999999997</c:v>
                </c:pt>
                <c:pt idx="4">
                  <c:v>225538.88</c:v>
                </c:pt>
                <c:pt idx="5">
                  <c:v>401251.2</c:v>
                </c:pt>
                <c:pt idx="6">
                  <c:v>548480.79999999993</c:v>
                </c:pt>
                <c:pt idx="7">
                  <c:v>381598.7</c:v>
                </c:pt>
                <c:pt idx="8">
                  <c:v>326030.88</c:v>
                </c:pt>
                <c:pt idx="9">
                  <c:v>352691.5</c:v>
                </c:pt>
                <c:pt idx="10">
                  <c:v>609850.22</c:v>
                </c:pt>
                <c:pt idx="11">
                  <c:v>345530.5</c:v>
                </c:pt>
                <c:pt idx="12">
                  <c:v>742513.66</c:v>
                </c:pt>
              </c:numCache>
            </c:numRef>
          </c:val>
          <c:extLst>
            <c:ext xmlns:c16="http://schemas.microsoft.com/office/drawing/2014/chart" uri="{C3380CC4-5D6E-409C-BE32-E72D297353CC}">
              <c16:uniqueId val="{00000000-8942-4B3D-8805-0CD72D6F4322}"/>
            </c:ext>
          </c:extLst>
        </c:ser>
        <c:dLbls>
          <c:dLblPos val="outEnd"/>
          <c:showLegendKey val="0"/>
          <c:showVal val="1"/>
          <c:showCatName val="0"/>
          <c:showSerName val="0"/>
          <c:showPercent val="0"/>
          <c:showBubbleSize val="0"/>
        </c:dLbls>
        <c:gapWidth val="444"/>
        <c:overlap val="-90"/>
        <c:axId val="2033610208"/>
        <c:axId val="2033594400"/>
      </c:barChart>
      <c:catAx>
        <c:axId val="203361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ES"/>
          </a:p>
        </c:txPr>
        <c:crossAx val="2033594400"/>
        <c:crosses val="autoZero"/>
        <c:auto val="1"/>
        <c:lblAlgn val="ctr"/>
        <c:lblOffset val="100"/>
        <c:noMultiLvlLbl val="0"/>
      </c:catAx>
      <c:valAx>
        <c:axId val="2033594400"/>
        <c:scaling>
          <c:orientation val="minMax"/>
        </c:scaling>
        <c:delete val="1"/>
        <c:axPos val="l"/>
        <c:numFmt formatCode="#,##0.00\ &quot;€&quot;" sourceLinked="1"/>
        <c:majorTickMark val="none"/>
        <c:minorTickMark val="none"/>
        <c:tickLblPos val="nextTo"/>
        <c:crossAx val="20336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Tablas!A1"/><Relationship Id="rId2" Type="http://schemas.openxmlformats.org/officeDocument/2006/relationships/hyperlink" Target="#Informe!A1"/><Relationship Id="rId1" Type="http://schemas.openxmlformats.org/officeDocument/2006/relationships/hyperlink" Target="#Datos!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hyperlink" Target="#Menu!A1"/><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6</xdr:row>
      <xdr:rowOff>0</xdr:rowOff>
    </xdr:from>
    <xdr:to>
      <xdr:col>3</xdr:col>
      <xdr:colOff>190500</xdr:colOff>
      <xdr:row>8</xdr:row>
      <xdr:rowOff>19050</xdr:rowOff>
    </xdr:to>
    <xdr:sp macro="" textlink="">
      <xdr:nvSpPr>
        <xdr:cNvPr id="3" name="Diagrama de flujo: proceso alternativo 2">
          <a:hlinkClick xmlns:r="http://schemas.openxmlformats.org/officeDocument/2006/relationships" r:id="rId1"/>
          <a:extLst>
            <a:ext uri="{FF2B5EF4-FFF2-40B4-BE49-F238E27FC236}">
              <a16:creationId xmlns:a16="http://schemas.microsoft.com/office/drawing/2014/main" id="{A6CEA0DC-0E28-451F-92C1-D0D61A24F993}"/>
            </a:ext>
          </a:extLst>
        </xdr:cNvPr>
        <xdr:cNvSpPr/>
      </xdr:nvSpPr>
      <xdr:spPr>
        <a:xfrm>
          <a:off x="1524000" y="1085850"/>
          <a:ext cx="952500" cy="381000"/>
        </a:xfrm>
        <a:prstGeom prst="flowChartAlternateProcess">
          <a:avLst/>
        </a:prstGeom>
        <a:solidFill>
          <a:schemeClr val="accent4">
            <a:lumMod val="20000"/>
            <a:lumOff val="80000"/>
          </a:schemeClr>
        </a:solidFill>
        <a:effectLst>
          <a:outerShdw blurRad="50800" dist="38100" dir="18900000" algn="b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s-ES" sz="1400">
              <a:solidFill>
                <a:schemeClr val="accent6">
                  <a:lumMod val="75000"/>
                </a:schemeClr>
              </a:solidFill>
            </a:rPr>
            <a:t>DATOS</a:t>
          </a:r>
        </a:p>
      </xdr:txBody>
    </xdr:sp>
    <xdr:clientData/>
  </xdr:twoCellAnchor>
  <xdr:twoCellAnchor>
    <xdr:from>
      <xdr:col>1</xdr:col>
      <xdr:colOff>761999</xdr:colOff>
      <xdr:row>14</xdr:row>
      <xdr:rowOff>19050</xdr:rowOff>
    </xdr:from>
    <xdr:to>
      <xdr:col>3</xdr:col>
      <xdr:colOff>200024</xdr:colOff>
      <xdr:row>16</xdr:row>
      <xdr:rowOff>38100</xdr:rowOff>
    </xdr:to>
    <xdr:sp macro="" textlink="">
      <xdr:nvSpPr>
        <xdr:cNvPr id="4" name="Diagrama de flujo: proceso alternativo 3">
          <a:hlinkClick xmlns:r="http://schemas.openxmlformats.org/officeDocument/2006/relationships" r:id="rId2"/>
          <a:extLst>
            <a:ext uri="{FF2B5EF4-FFF2-40B4-BE49-F238E27FC236}">
              <a16:creationId xmlns:a16="http://schemas.microsoft.com/office/drawing/2014/main" id="{E59E19C7-16EA-4A52-8552-2771624909D5}"/>
            </a:ext>
          </a:extLst>
        </xdr:cNvPr>
        <xdr:cNvSpPr/>
      </xdr:nvSpPr>
      <xdr:spPr>
        <a:xfrm>
          <a:off x="1523999" y="2552700"/>
          <a:ext cx="962025" cy="381000"/>
        </a:xfrm>
        <a:prstGeom prst="flowChartAlternateProcess">
          <a:avLst/>
        </a:prstGeom>
        <a:solidFill>
          <a:schemeClr val="accent4">
            <a:lumMod val="20000"/>
            <a:lumOff val="80000"/>
          </a:schemeClr>
        </a:solidFill>
        <a:effectLst>
          <a:outerShdw blurRad="50800" dist="38100" dir="18900000" algn="b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s-ES" sz="1400">
              <a:solidFill>
                <a:schemeClr val="accent6">
                  <a:lumMod val="75000"/>
                </a:schemeClr>
              </a:solidFill>
            </a:rPr>
            <a:t>INFORME</a:t>
          </a:r>
        </a:p>
      </xdr:txBody>
    </xdr:sp>
    <xdr:clientData/>
  </xdr:twoCellAnchor>
  <xdr:twoCellAnchor>
    <xdr:from>
      <xdr:col>1</xdr:col>
      <xdr:colOff>742950</xdr:colOff>
      <xdr:row>10</xdr:row>
      <xdr:rowOff>9525</xdr:rowOff>
    </xdr:from>
    <xdr:to>
      <xdr:col>3</xdr:col>
      <xdr:colOff>190500</xdr:colOff>
      <xdr:row>12</xdr:row>
      <xdr:rowOff>28575</xdr:rowOff>
    </xdr:to>
    <xdr:sp macro="" textlink="">
      <xdr:nvSpPr>
        <xdr:cNvPr id="5" name="Diagrama de flujo: proceso alternativo 4">
          <a:hlinkClick xmlns:r="http://schemas.openxmlformats.org/officeDocument/2006/relationships" r:id="rId3"/>
          <a:extLst>
            <a:ext uri="{FF2B5EF4-FFF2-40B4-BE49-F238E27FC236}">
              <a16:creationId xmlns:a16="http://schemas.microsoft.com/office/drawing/2014/main" id="{1DCCB65D-8E1F-4A09-B6F7-1786198DEACD}"/>
            </a:ext>
          </a:extLst>
        </xdr:cNvPr>
        <xdr:cNvSpPr/>
      </xdr:nvSpPr>
      <xdr:spPr>
        <a:xfrm>
          <a:off x="1504950" y="1819275"/>
          <a:ext cx="971550" cy="381000"/>
        </a:xfrm>
        <a:prstGeom prst="flowChartAlternateProcess">
          <a:avLst/>
        </a:prstGeom>
        <a:solidFill>
          <a:schemeClr val="accent4">
            <a:lumMod val="20000"/>
            <a:lumOff val="80000"/>
          </a:schemeClr>
        </a:solidFill>
        <a:effectLst>
          <a:outerShdw blurRad="50800" dist="38100" dir="18900000" algn="b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s-ES" sz="1400">
              <a:solidFill>
                <a:schemeClr val="accent6">
                  <a:lumMod val="75000"/>
                </a:schemeClr>
              </a:solidFill>
            </a:rPr>
            <a:t>TABLAS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145677</xdr:colOff>
      <xdr:row>1</xdr:row>
      <xdr:rowOff>44823</xdr:rowOff>
    </xdr:from>
    <xdr:to>
      <xdr:col>16</xdr:col>
      <xdr:colOff>1069602</xdr:colOff>
      <xdr:row>3</xdr:row>
      <xdr:rowOff>73585</xdr:rowOff>
    </xdr:to>
    <xdr:sp macro="" textlink="">
      <xdr:nvSpPr>
        <xdr:cNvPr id="2" name="Diagrama de flujo: proceso alternativo 1">
          <a:hlinkClick xmlns:r="http://schemas.openxmlformats.org/officeDocument/2006/relationships" r:id="rId1"/>
          <a:extLst>
            <a:ext uri="{FF2B5EF4-FFF2-40B4-BE49-F238E27FC236}">
              <a16:creationId xmlns:a16="http://schemas.microsoft.com/office/drawing/2014/main" id="{C47B6701-E58F-49FF-BCE5-6D35129F5AB8}"/>
            </a:ext>
          </a:extLst>
        </xdr:cNvPr>
        <xdr:cNvSpPr/>
      </xdr:nvSpPr>
      <xdr:spPr>
        <a:xfrm>
          <a:off x="21717001" y="224117"/>
          <a:ext cx="923925" cy="387350"/>
        </a:xfrm>
        <a:prstGeom prst="flowChartAlternateProcess">
          <a:avLst/>
        </a:prstGeom>
        <a:solidFill>
          <a:schemeClr val="accent4">
            <a:lumMod val="20000"/>
            <a:lumOff val="80000"/>
          </a:schemeClr>
        </a:solidFill>
        <a:effectLst>
          <a:outerShdw blurRad="50800" dist="38100" dir="18900000" algn="b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s-ES" sz="1400">
              <a:solidFill>
                <a:schemeClr val="accent6">
                  <a:lumMod val="75000"/>
                </a:schemeClr>
              </a:solidFill>
            </a:rPr>
            <a:t>MENU</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552451</xdr:colOff>
      <xdr:row>0</xdr:row>
      <xdr:rowOff>1</xdr:rowOff>
    </xdr:from>
    <xdr:to>
      <xdr:col>3</xdr:col>
      <xdr:colOff>1104901</xdr:colOff>
      <xdr:row>2</xdr:row>
      <xdr:rowOff>133351</xdr:rowOff>
    </xdr:to>
    <xdr:pic>
      <xdr:nvPicPr>
        <xdr:cNvPr id="9" name="Gráfico 8" descr="Montañas con relleno sólido">
          <a:extLst>
            <a:ext uri="{FF2B5EF4-FFF2-40B4-BE49-F238E27FC236}">
              <a16:creationId xmlns:a16="http://schemas.microsoft.com/office/drawing/2014/main" id="{ADDA738E-3C5B-3469-9AF6-BDD36340B4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71651" y="1"/>
          <a:ext cx="552450" cy="552450"/>
        </a:xfrm>
        <a:prstGeom prst="rect">
          <a:avLst/>
        </a:prstGeom>
      </xdr:spPr>
    </xdr:pic>
    <xdr:clientData/>
  </xdr:twoCellAnchor>
  <xdr:twoCellAnchor>
    <xdr:from>
      <xdr:col>10</xdr:col>
      <xdr:colOff>0</xdr:colOff>
      <xdr:row>1</xdr:row>
      <xdr:rowOff>0</xdr:rowOff>
    </xdr:from>
    <xdr:to>
      <xdr:col>10</xdr:col>
      <xdr:colOff>927100</xdr:colOff>
      <xdr:row>3</xdr:row>
      <xdr:rowOff>22225</xdr:rowOff>
    </xdr:to>
    <xdr:sp macro="" textlink="">
      <xdr:nvSpPr>
        <xdr:cNvPr id="11" name="Diagrama de flujo: proceso alternativo 10">
          <a:hlinkClick xmlns:r="http://schemas.openxmlformats.org/officeDocument/2006/relationships" r:id="rId3"/>
          <a:extLst>
            <a:ext uri="{FF2B5EF4-FFF2-40B4-BE49-F238E27FC236}">
              <a16:creationId xmlns:a16="http://schemas.microsoft.com/office/drawing/2014/main" id="{D17EF8EC-2914-4418-8156-A67E8D8522F6}"/>
            </a:ext>
          </a:extLst>
        </xdr:cNvPr>
        <xdr:cNvSpPr/>
      </xdr:nvSpPr>
      <xdr:spPr>
        <a:xfrm>
          <a:off x="9239250" y="238125"/>
          <a:ext cx="927100" cy="384175"/>
        </a:xfrm>
        <a:prstGeom prst="flowChartAlternateProcess">
          <a:avLst/>
        </a:prstGeom>
        <a:solidFill>
          <a:schemeClr val="accent4">
            <a:lumMod val="20000"/>
            <a:lumOff val="80000"/>
          </a:schemeClr>
        </a:solidFill>
        <a:effectLst>
          <a:outerShdw blurRad="50800" dist="38100" dir="18900000" algn="b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s-ES" sz="1400">
              <a:solidFill>
                <a:schemeClr val="accent6">
                  <a:lumMod val="75000"/>
                </a:schemeClr>
              </a:solidFill>
            </a:rPr>
            <a:t>MENU</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114300</xdr:colOff>
      <xdr:row>19</xdr:row>
      <xdr:rowOff>171450</xdr:rowOff>
    </xdr:from>
    <xdr:to>
      <xdr:col>18</xdr:col>
      <xdr:colOff>565149</xdr:colOff>
      <xdr:row>27</xdr:row>
      <xdr:rowOff>47625</xdr:rowOff>
    </xdr:to>
    <xdr:sp macro="" textlink="">
      <xdr:nvSpPr>
        <xdr:cNvPr id="20" name="Rectángulo: esquinas redondeadas 19">
          <a:extLst>
            <a:ext uri="{FF2B5EF4-FFF2-40B4-BE49-F238E27FC236}">
              <a16:creationId xmlns:a16="http://schemas.microsoft.com/office/drawing/2014/main" id="{41406497-40D6-44B7-95C6-D9C34EA57F77}"/>
            </a:ext>
          </a:extLst>
        </xdr:cNvPr>
        <xdr:cNvSpPr/>
      </xdr:nvSpPr>
      <xdr:spPr>
        <a:xfrm>
          <a:off x="11868150" y="3857625"/>
          <a:ext cx="2927349" cy="1323975"/>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13</xdr:col>
      <xdr:colOff>561975</xdr:colOff>
      <xdr:row>29</xdr:row>
      <xdr:rowOff>60324</xdr:rowOff>
    </xdr:from>
    <xdr:to>
      <xdr:col>19</xdr:col>
      <xdr:colOff>19050</xdr:colOff>
      <xdr:row>44</xdr:row>
      <xdr:rowOff>95250</xdr:rowOff>
    </xdr:to>
    <xdr:graphicFrame macro="">
      <xdr:nvGraphicFramePr>
        <xdr:cNvPr id="2" name="Gráfico 1">
          <a:extLst>
            <a:ext uri="{FF2B5EF4-FFF2-40B4-BE49-F238E27FC236}">
              <a16:creationId xmlns:a16="http://schemas.microsoft.com/office/drawing/2014/main" id="{937F396E-0417-4AC8-9B59-4C702686F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752476</xdr:colOff>
      <xdr:row>44</xdr:row>
      <xdr:rowOff>171450</xdr:rowOff>
    </xdr:from>
    <xdr:to>
      <xdr:col>19</xdr:col>
      <xdr:colOff>9525</xdr:colOff>
      <xdr:row>63</xdr:row>
      <xdr:rowOff>104775</xdr:rowOff>
    </xdr:to>
    <xdr:graphicFrame macro="">
      <xdr:nvGraphicFramePr>
        <xdr:cNvPr id="3" name="Gráfico 2">
          <a:extLst>
            <a:ext uri="{FF2B5EF4-FFF2-40B4-BE49-F238E27FC236}">
              <a16:creationId xmlns:a16="http://schemas.microsoft.com/office/drawing/2014/main" id="{13D36873-DF14-4675-AA63-8B4468A15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29</xdr:row>
      <xdr:rowOff>44450</xdr:rowOff>
    </xdr:from>
    <xdr:to>
      <xdr:col>7</xdr:col>
      <xdr:colOff>600075</xdr:colOff>
      <xdr:row>44</xdr:row>
      <xdr:rowOff>95250</xdr:rowOff>
    </xdr:to>
    <xdr:graphicFrame macro="">
      <xdr:nvGraphicFramePr>
        <xdr:cNvPr id="4" name="Gráfico 3">
          <a:extLst>
            <a:ext uri="{FF2B5EF4-FFF2-40B4-BE49-F238E27FC236}">
              <a16:creationId xmlns:a16="http://schemas.microsoft.com/office/drawing/2014/main" id="{E06569F9-A545-40B2-803F-D7D2A39FE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85725</xdr:colOff>
      <xdr:row>45</xdr:row>
      <xdr:rowOff>12699</xdr:rowOff>
    </xdr:from>
    <xdr:to>
      <xdr:col>9</xdr:col>
      <xdr:colOff>92075</xdr:colOff>
      <xdr:row>63</xdr:row>
      <xdr:rowOff>120650</xdr:rowOff>
    </xdr:to>
    <xdr:graphicFrame macro="">
      <xdr:nvGraphicFramePr>
        <xdr:cNvPr id="5" name="Gráfico 4">
          <a:extLst>
            <a:ext uri="{FF2B5EF4-FFF2-40B4-BE49-F238E27FC236}">
              <a16:creationId xmlns:a16="http://schemas.microsoft.com/office/drawing/2014/main" id="{9CD25810-DDA3-4F48-AF48-F06BDD0E5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314809</xdr:colOff>
      <xdr:row>0</xdr:row>
      <xdr:rowOff>36043</xdr:rowOff>
    </xdr:from>
    <xdr:to>
      <xdr:col>3</xdr:col>
      <xdr:colOff>6377</xdr:colOff>
      <xdr:row>2</xdr:row>
      <xdr:rowOff>53975</xdr:rowOff>
    </xdr:to>
    <xdr:pic>
      <xdr:nvPicPr>
        <xdr:cNvPr id="6" name="Gráfico 5" descr="Montañas con relleno sólido">
          <a:extLst>
            <a:ext uri="{FF2B5EF4-FFF2-40B4-BE49-F238E27FC236}">
              <a16:creationId xmlns:a16="http://schemas.microsoft.com/office/drawing/2014/main" id="{1A94015A-5AF5-4F62-A0E7-AB3E5B201BF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38809" y="36043"/>
          <a:ext cx="453568" cy="494182"/>
        </a:xfrm>
        <a:prstGeom prst="rect">
          <a:avLst/>
        </a:prstGeom>
      </xdr:spPr>
    </xdr:pic>
    <xdr:clientData/>
  </xdr:twoCellAnchor>
  <xdr:twoCellAnchor editAs="oneCell">
    <xdr:from>
      <xdr:col>9</xdr:col>
      <xdr:colOff>666750</xdr:colOff>
      <xdr:row>21</xdr:row>
      <xdr:rowOff>9525</xdr:rowOff>
    </xdr:from>
    <xdr:to>
      <xdr:col>14</xdr:col>
      <xdr:colOff>257175</xdr:colOff>
      <xdr:row>28</xdr:row>
      <xdr:rowOff>142875</xdr:rowOff>
    </xdr:to>
    <mc:AlternateContent xmlns:mc="http://schemas.openxmlformats.org/markup-compatibility/2006" xmlns:tsle="http://schemas.microsoft.com/office/drawing/2012/timeslicer">
      <mc:Choice Requires="tsle">
        <xdr:graphicFrame macro="">
          <xdr:nvGraphicFramePr>
            <xdr:cNvPr id="7" name="Fecha de orden">
              <a:extLst>
                <a:ext uri="{FF2B5EF4-FFF2-40B4-BE49-F238E27FC236}">
                  <a16:creationId xmlns:a16="http://schemas.microsoft.com/office/drawing/2014/main" id="{83CE3813-30C4-C77E-AE4E-A9ED21ED99E5}"/>
                </a:ext>
              </a:extLst>
            </xdr:cNvPr>
            <xdr:cNvGraphicFramePr/>
          </xdr:nvGraphicFramePr>
          <xdr:xfrm>
            <a:off x="0" y="0"/>
            <a:ext cx="0" cy="0"/>
          </xdr:xfrm>
          <a:graphic>
            <a:graphicData uri="http://schemas.microsoft.com/office/drawing/2012/timeslicer">
              <tsle:timeslicer name="Fecha de orden"/>
            </a:graphicData>
          </a:graphic>
        </xdr:graphicFrame>
      </mc:Choice>
      <mc:Fallback xmlns="">
        <xdr:sp macro="" textlink="">
          <xdr:nvSpPr>
            <xdr:cNvPr id="0" name=""/>
            <xdr:cNvSpPr>
              <a:spLocks noTextEdit="1"/>
            </xdr:cNvSpPr>
          </xdr:nvSpPr>
          <xdr:spPr>
            <a:xfrm>
              <a:off x="7820025" y="4054475"/>
              <a:ext cx="3397250" cy="1400175"/>
            </a:xfrm>
            <a:prstGeom prst="rect">
              <a:avLst/>
            </a:prstGeom>
            <a:solidFill>
              <a:prstClr val="white"/>
            </a:solidFill>
            <a:ln w="1">
              <a:solidFill>
                <a:prstClr val="green"/>
              </a:solidFill>
            </a:ln>
          </xdr:spPr>
          <xdr:txBody>
            <a:bodyPr vertOverflow="clip" horzOverflow="clip"/>
            <a:lstStyle/>
            <a:p>
              <a:r>
                <a:rPr lang="es-ES" sz="1100"/>
                <a:t>Línea de tiempo: Funciona en Excel 2013 o superior. No mover ni cambiar el tamaño.</a:t>
              </a:r>
            </a:p>
          </xdr:txBody>
        </xdr:sp>
      </mc:Fallback>
    </mc:AlternateContent>
    <xdr:clientData/>
  </xdr:twoCellAnchor>
  <xdr:twoCellAnchor editAs="oneCell">
    <xdr:from>
      <xdr:col>0</xdr:col>
      <xdr:colOff>152400</xdr:colOff>
      <xdr:row>12</xdr:row>
      <xdr:rowOff>57152</xdr:rowOff>
    </xdr:from>
    <xdr:to>
      <xdr:col>14</xdr:col>
      <xdr:colOff>276225</xdr:colOff>
      <xdr:row>20</xdr:row>
      <xdr:rowOff>15875</xdr:rowOff>
    </xdr:to>
    <mc:AlternateContent xmlns:mc="http://schemas.openxmlformats.org/markup-compatibility/2006" xmlns:tsle="http://schemas.microsoft.com/office/drawing/2012/timeslicer">
      <mc:Choice Requires="tsle">
        <xdr:graphicFrame macro="">
          <xdr:nvGraphicFramePr>
            <xdr:cNvPr id="8" name="Fecha de embarque">
              <a:extLst>
                <a:ext uri="{FF2B5EF4-FFF2-40B4-BE49-F238E27FC236}">
                  <a16:creationId xmlns:a16="http://schemas.microsoft.com/office/drawing/2014/main" id="{DF93CF3E-25DB-2EC1-7091-87B7C9C225D1}"/>
                </a:ext>
              </a:extLst>
            </xdr:cNvPr>
            <xdr:cNvGraphicFramePr/>
          </xdr:nvGraphicFramePr>
          <xdr:xfrm>
            <a:off x="0" y="0"/>
            <a:ext cx="0" cy="0"/>
          </xdr:xfrm>
          <a:graphic>
            <a:graphicData uri="http://schemas.microsoft.com/office/drawing/2012/timeslicer">
              <tsle:timeslicer name="Fecha de embarque"/>
            </a:graphicData>
          </a:graphic>
        </xdr:graphicFrame>
      </mc:Choice>
      <mc:Fallback xmlns="">
        <xdr:sp macro="" textlink="">
          <xdr:nvSpPr>
            <xdr:cNvPr id="0" name=""/>
            <xdr:cNvSpPr>
              <a:spLocks noTextEdit="1"/>
            </xdr:cNvSpPr>
          </xdr:nvSpPr>
          <xdr:spPr>
            <a:xfrm>
              <a:off x="152400" y="2457452"/>
              <a:ext cx="11083925" cy="1425573"/>
            </a:xfrm>
            <a:prstGeom prst="rect">
              <a:avLst/>
            </a:prstGeom>
            <a:solidFill>
              <a:prstClr val="white"/>
            </a:solidFill>
            <a:ln w="1">
              <a:solidFill>
                <a:prstClr val="green"/>
              </a:solidFill>
            </a:ln>
          </xdr:spPr>
          <xdr:txBody>
            <a:bodyPr vertOverflow="clip" horzOverflow="clip"/>
            <a:lstStyle/>
            <a:p>
              <a:r>
                <a:rPr lang="es-ES" sz="1100"/>
                <a:t>Línea de tiempo: Funciona en Excel 2013 o superior. No mover ni cambiar el tamaño.</a:t>
              </a:r>
            </a:p>
          </xdr:txBody>
        </xdr:sp>
      </mc:Fallback>
    </mc:AlternateContent>
    <xdr:clientData/>
  </xdr:twoCellAnchor>
  <xdr:twoCellAnchor editAs="oneCell">
    <xdr:from>
      <xdr:col>0</xdr:col>
      <xdr:colOff>149226</xdr:colOff>
      <xdr:row>20</xdr:row>
      <xdr:rowOff>114300</xdr:rowOff>
    </xdr:from>
    <xdr:to>
      <xdr:col>2</xdr:col>
      <xdr:colOff>409576</xdr:colOff>
      <xdr:row>29</xdr:row>
      <xdr:rowOff>0</xdr:rowOff>
    </xdr:to>
    <mc:AlternateContent xmlns:mc="http://schemas.openxmlformats.org/markup-compatibility/2006" xmlns:a14="http://schemas.microsoft.com/office/drawing/2010/main">
      <mc:Choice Requires="a14">
        <xdr:graphicFrame macro="">
          <xdr:nvGraphicFramePr>
            <xdr:cNvPr id="9" name="Vendedor">
              <a:extLst>
                <a:ext uri="{FF2B5EF4-FFF2-40B4-BE49-F238E27FC236}">
                  <a16:creationId xmlns:a16="http://schemas.microsoft.com/office/drawing/2014/main" id="{E6B2DC8C-130D-74CC-CF03-C891231D0C8E}"/>
                </a:ext>
              </a:extLst>
            </xdr:cNvPr>
            <xdr:cNvGraphicFramePr/>
          </xdr:nvGraphicFramePr>
          <xdr:xfrm>
            <a:off x="0" y="0"/>
            <a:ext cx="0" cy="0"/>
          </xdr:xfrm>
          <a:graphic>
            <a:graphicData uri="http://schemas.microsoft.com/office/drawing/2010/slicer">
              <sle:slicer xmlns:sle="http://schemas.microsoft.com/office/drawing/2010/slicer" name="Vendedor"/>
            </a:graphicData>
          </a:graphic>
        </xdr:graphicFrame>
      </mc:Choice>
      <mc:Fallback xmlns="">
        <xdr:sp macro="" textlink="">
          <xdr:nvSpPr>
            <xdr:cNvPr id="0" name=""/>
            <xdr:cNvSpPr>
              <a:spLocks noTextEdit="1"/>
            </xdr:cNvSpPr>
          </xdr:nvSpPr>
          <xdr:spPr>
            <a:xfrm>
              <a:off x="149226" y="3981450"/>
              <a:ext cx="1781175" cy="151447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5</xdr:col>
      <xdr:colOff>142874</xdr:colOff>
      <xdr:row>20</xdr:row>
      <xdr:rowOff>133351</xdr:rowOff>
    </xdr:from>
    <xdr:to>
      <xdr:col>7</xdr:col>
      <xdr:colOff>457199</xdr:colOff>
      <xdr:row>28</xdr:row>
      <xdr:rowOff>152401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DC1EF753-F868-0FED-AB41-DC5DDA5A26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56049" y="4000501"/>
              <a:ext cx="1835150" cy="146685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520700</xdr:colOff>
      <xdr:row>20</xdr:row>
      <xdr:rowOff>161925</xdr:rowOff>
    </xdr:from>
    <xdr:to>
      <xdr:col>9</xdr:col>
      <xdr:colOff>533400</xdr:colOff>
      <xdr:row>28</xdr:row>
      <xdr:rowOff>123825</xdr:rowOff>
    </xdr:to>
    <mc:AlternateContent xmlns:mc="http://schemas.openxmlformats.org/markup-compatibility/2006" xmlns:a14="http://schemas.microsoft.com/office/drawing/2010/main">
      <mc:Choice Requires="a14">
        <xdr:graphicFrame macro="">
          <xdr:nvGraphicFramePr>
            <xdr:cNvPr id="11" name="Empresa fletera">
              <a:extLst>
                <a:ext uri="{FF2B5EF4-FFF2-40B4-BE49-F238E27FC236}">
                  <a16:creationId xmlns:a16="http://schemas.microsoft.com/office/drawing/2014/main" id="{B3F6240D-5029-B04B-7905-C3F11D555162}"/>
                </a:ext>
              </a:extLst>
            </xdr:cNvPr>
            <xdr:cNvGraphicFramePr/>
          </xdr:nvGraphicFramePr>
          <xdr:xfrm>
            <a:off x="0" y="0"/>
            <a:ext cx="0" cy="0"/>
          </xdr:xfrm>
          <a:graphic>
            <a:graphicData uri="http://schemas.microsoft.com/office/drawing/2010/slicer">
              <sle:slicer xmlns:sle="http://schemas.microsoft.com/office/drawing/2010/slicer" name="Empresa fletera"/>
            </a:graphicData>
          </a:graphic>
        </xdr:graphicFrame>
      </mc:Choice>
      <mc:Fallback xmlns="">
        <xdr:sp macro="" textlink="">
          <xdr:nvSpPr>
            <xdr:cNvPr id="0" name=""/>
            <xdr:cNvSpPr>
              <a:spLocks noTextEdit="1"/>
            </xdr:cNvSpPr>
          </xdr:nvSpPr>
          <xdr:spPr>
            <a:xfrm>
              <a:off x="5857875" y="4025900"/>
              <a:ext cx="1828800" cy="14097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523877</xdr:colOff>
      <xdr:row>20</xdr:row>
      <xdr:rowOff>114300</xdr:rowOff>
    </xdr:from>
    <xdr:to>
      <xdr:col>5</xdr:col>
      <xdr:colOff>28575</xdr:colOff>
      <xdr:row>29</xdr:row>
      <xdr:rowOff>1</xdr:rowOff>
    </xdr:to>
    <mc:AlternateContent xmlns:mc="http://schemas.openxmlformats.org/markup-compatibility/2006" xmlns:a14="http://schemas.microsoft.com/office/drawing/2010/main">
      <mc:Choice Requires="a14">
        <xdr:graphicFrame macro="">
          <xdr:nvGraphicFramePr>
            <xdr:cNvPr id="12" name="provincia">
              <a:extLst>
                <a:ext uri="{FF2B5EF4-FFF2-40B4-BE49-F238E27FC236}">
                  <a16:creationId xmlns:a16="http://schemas.microsoft.com/office/drawing/2014/main" id="{FE8DF831-7F73-9D5C-2347-C0C2A685C243}"/>
                </a:ext>
              </a:extLst>
            </xdr:cNvPr>
            <xdr:cNvGraphicFramePr/>
          </xdr:nvGraphicFramePr>
          <xdr:xfrm>
            <a:off x="0" y="0"/>
            <a:ext cx="0" cy="0"/>
          </xdr:xfrm>
          <a:graphic>
            <a:graphicData uri="http://schemas.microsoft.com/office/drawing/2010/slicer">
              <sle:slicer xmlns:sle="http://schemas.microsoft.com/office/drawing/2010/slicer" name="provincia"/>
            </a:graphicData>
          </a:graphic>
        </xdr:graphicFrame>
      </mc:Choice>
      <mc:Fallback xmlns="">
        <xdr:sp macro="" textlink="">
          <xdr:nvSpPr>
            <xdr:cNvPr id="0" name=""/>
            <xdr:cNvSpPr>
              <a:spLocks noTextEdit="1"/>
            </xdr:cNvSpPr>
          </xdr:nvSpPr>
          <xdr:spPr>
            <a:xfrm>
              <a:off x="2044702" y="3981450"/>
              <a:ext cx="1790698" cy="1514476"/>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114300</xdr:colOff>
      <xdr:row>2</xdr:row>
      <xdr:rowOff>114301</xdr:rowOff>
    </xdr:from>
    <xdr:to>
      <xdr:col>18</xdr:col>
      <xdr:colOff>733425</xdr:colOff>
      <xdr:row>12</xdr:row>
      <xdr:rowOff>28575</xdr:rowOff>
    </xdr:to>
    <xdr:sp macro="" textlink="">
      <xdr:nvSpPr>
        <xdr:cNvPr id="14" name="Rectángulo: esquinas redondeadas 13">
          <a:extLst>
            <a:ext uri="{FF2B5EF4-FFF2-40B4-BE49-F238E27FC236}">
              <a16:creationId xmlns:a16="http://schemas.microsoft.com/office/drawing/2014/main" id="{D470C79B-4BBA-4841-B56C-6BE8BB977ED5}"/>
            </a:ext>
          </a:extLst>
        </xdr:cNvPr>
        <xdr:cNvSpPr/>
      </xdr:nvSpPr>
      <xdr:spPr>
        <a:xfrm>
          <a:off x="114300" y="590551"/>
          <a:ext cx="14849475" cy="1838324"/>
        </a:xfrm>
        <a:prstGeom prst="roundRect">
          <a:avLst/>
        </a:prstGeom>
        <a:solidFill>
          <a:schemeClr val="accent4">
            <a:lumMod val="20000"/>
            <a:lumOff val="8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ES" sz="1100"/>
        </a:p>
      </xdr:txBody>
    </xdr:sp>
    <xdr:clientData/>
  </xdr:twoCellAnchor>
  <xdr:twoCellAnchor>
    <xdr:from>
      <xdr:col>15</xdr:col>
      <xdr:colOff>320675</xdr:colOff>
      <xdr:row>20</xdr:row>
      <xdr:rowOff>104774</xdr:rowOff>
    </xdr:from>
    <xdr:to>
      <xdr:col>18</xdr:col>
      <xdr:colOff>469899</xdr:colOff>
      <xdr:row>22</xdr:row>
      <xdr:rowOff>155574</xdr:rowOff>
    </xdr:to>
    <xdr:sp macro="" textlink="">
      <xdr:nvSpPr>
        <xdr:cNvPr id="17" name="CuadroTexto 16">
          <a:extLst>
            <a:ext uri="{FF2B5EF4-FFF2-40B4-BE49-F238E27FC236}">
              <a16:creationId xmlns:a16="http://schemas.microsoft.com/office/drawing/2014/main" id="{7AD2D536-3CBE-49E9-8D4A-B94909D6CC5D}"/>
            </a:ext>
          </a:extLst>
        </xdr:cNvPr>
        <xdr:cNvSpPr txBox="1"/>
      </xdr:nvSpPr>
      <xdr:spPr>
        <a:xfrm>
          <a:off x="12074525" y="3971924"/>
          <a:ext cx="2625724" cy="4127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2000" b="1">
              <a:solidFill>
                <a:schemeClr val="accent6">
                  <a:lumMod val="75000"/>
                </a:schemeClr>
              </a:solidFill>
              <a:effectLst/>
              <a:latin typeface="+mn-lt"/>
              <a:ea typeface="+mn-ea"/>
              <a:cs typeface="+mn-cs"/>
            </a:rPr>
            <a:t>Total</a:t>
          </a:r>
          <a:r>
            <a:rPr lang="es-ES" sz="2000" b="1" baseline="0">
              <a:solidFill>
                <a:schemeClr val="accent6">
                  <a:lumMod val="75000"/>
                </a:schemeClr>
              </a:solidFill>
              <a:effectLst/>
              <a:latin typeface="+mn-lt"/>
              <a:ea typeface="+mn-ea"/>
              <a:cs typeface="+mn-cs"/>
            </a:rPr>
            <a:t> ingresos </a:t>
          </a:r>
          <a:endParaRPr lang="es-ES" sz="2000"/>
        </a:p>
      </xdr:txBody>
    </xdr:sp>
    <xdr:clientData/>
  </xdr:twoCellAnchor>
  <xdr:twoCellAnchor>
    <xdr:from>
      <xdr:col>7</xdr:col>
      <xdr:colOff>339725</xdr:colOff>
      <xdr:row>2</xdr:row>
      <xdr:rowOff>203199</xdr:rowOff>
    </xdr:from>
    <xdr:to>
      <xdr:col>10</xdr:col>
      <xdr:colOff>390525</xdr:colOff>
      <xdr:row>4</xdr:row>
      <xdr:rowOff>44450</xdr:rowOff>
    </xdr:to>
    <xdr:sp macro="" textlink="">
      <xdr:nvSpPr>
        <xdr:cNvPr id="23" name="CuadroTexto 22">
          <a:extLst>
            <a:ext uri="{FF2B5EF4-FFF2-40B4-BE49-F238E27FC236}">
              <a16:creationId xmlns:a16="http://schemas.microsoft.com/office/drawing/2014/main" id="{086C3D8C-3362-949D-B43F-9D383FB1D6FA}"/>
            </a:ext>
          </a:extLst>
        </xdr:cNvPr>
        <xdr:cNvSpPr txBox="1"/>
      </xdr:nvSpPr>
      <xdr:spPr>
        <a:xfrm>
          <a:off x="5673725" y="679449"/>
          <a:ext cx="2632075" cy="31750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a:solidFill>
                <a:schemeClr val="accent6">
                  <a:lumMod val="75000"/>
                </a:schemeClr>
              </a:solidFill>
            </a:rPr>
            <a:t>Informe</a:t>
          </a:r>
        </a:p>
        <a:p>
          <a:endParaRPr lang="es-ES" sz="1100"/>
        </a:p>
      </xdr:txBody>
    </xdr:sp>
    <xdr:clientData/>
  </xdr:twoCellAnchor>
  <xdr:twoCellAnchor>
    <xdr:from>
      <xdr:col>0</xdr:col>
      <xdr:colOff>457200</xdr:colOff>
      <xdr:row>4</xdr:row>
      <xdr:rowOff>133352</xdr:rowOff>
    </xdr:from>
    <xdr:to>
      <xdr:col>18</xdr:col>
      <xdr:colOff>171450</xdr:colOff>
      <xdr:row>11</xdr:row>
      <xdr:rowOff>19051</xdr:rowOff>
    </xdr:to>
    <xdr:sp macro="" textlink="">
      <xdr:nvSpPr>
        <xdr:cNvPr id="24" name="CuadroTexto 23">
          <a:extLst>
            <a:ext uri="{FF2B5EF4-FFF2-40B4-BE49-F238E27FC236}">
              <a16:creationId xmlns:a16="http://schemas.microsoft.com/office/drawing/2014/main" id="{FD902FE4-28B6-5DF5-6C82-36DAA6A62AB3}"/>
            </a:ext>
          </a:extLst>
        </xdr:cNvPr>
        <xdr:cNvSpPr txBox="1"/>
      </xdr:nvSpPr>
      <xdr:spPr>
        <a:xfrm>
          <a:off x="457200" y="1085852"/>
          <a:ext cx="13944600" cy="115252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300">
              <a:solidFill>
                <a:schemeClr val="accent6">
                  <a:lumMod val="75000"/>
                </a:schemeClr>
              </a:solidFill>
            </a:rPr>
            <a:t>Hay</a:t>
          </a:r>
          <a:r>
            <a:rPr lang="es-ES" sz="1300" baseline="0">
              <a:solidFill>
                <a:schemeClr val="accent6">
                  <a:lumMod val="75000"/>
                </a:schemeClr>
              </a:solidFill>
            </a:rPr>
            <a:t> </a:t>
          </a:r>
          <a:r>
            <a:rPr lang="es-ES" sz="1300" b="1" i="0" u="none" strike="noStrike">
              <a:solidFill>
                <a:schemeClr val="accent6">
                  <a:lumMod val="75000"/>
                </a:schemeClr>
              </a:solidFill>
              <a:effectLst/>
              <a:latin typeface="+mn-lt"/>
              <a:ea typeface="+mn-ea"/>
              <a:cs typeface="+mn-cs"/>
            </a:rPr>
            <a:t>803.251,68 €</a:t>
          </a:r>
          <a:r>
            <a:rPr lang="es-ES" sz="1300" b="1">
              <a:solidFill>
                <a:schemeClr val="accent6">
                  <a:lumMod val="75000"/>
                </a:schemeClr>
              </a:solidFill>
            </a:rPr>
            <a:t> </a:t>
          </a:r>
          <a:r>
            <a:rPr lang="es-ES" sz="1300">
              <a:solidFill>
                <a:schemeClr val="accent6">
                  <a:lumMod val="75000"/>
                </a:schemeClr>
              </a:solidFill>
            </a:rPr>
            <a:t>que </a:t>
          </a:r>
          <a:r>
            <a:rPr lang="es-ES" sz="1300" b="1" u="sng">
              <a:solidFill>
                <a:schemeClr val="accent6">
                  <a:lumMod val="75000"/>
                </a:schemeClr>
              </a:solidFill>
            </a:rPr>
            <a:t>no se pueden tratar</a:t>
          </a:r>
          <a:r>
            <a:rPr lang="es-ES" sz="1300" b="1" u="sng" baseline="0">
              <a:solidFill>
                <a:schemeClr val="accent6">
                  <a:lumMod val="75000"/>
                </a:schemeClr>
              </a:solidFill>
            </a:rPr>
            <a:t> en el informe </a:t>
          </a:r>
          <a:r>
            <a:rPr lang="es-ES" sz="1300" baseline="0">
              <a:solidFill>
                <a:schemeClr val="accent6">
                  <a:lumMod val="75000"/>
                </a:schemeClr>
              </a:solidFill>
            </a:rPr>
            <a:t>ya que en la tabla de datos no estan todos los datos para analizarse.</a:t>
          </a:r>
          <a:endParaRPr lang="es-ES" sz="1300">
            <a:solidFill>
              <a:schemeClr val="accent6">
                <a:lumMod val="75000"/>
              </a:schemeClr>
            </a:solidFill>
          </a:endParaRPr>
        </a:p>
        <a:p>
          <a:r>
            <a:rPr lang="es-ES" sz="1300">
              <a:solidFill>
                <a:schemeClr val="accent6">
                  <a:lumMod val="75000"/>
                </a:schemeClr>
              </a:solidFill>
            </a:rPr>
            <a:t>Sobre las</a:t>
          </a:r>
          <a:r>
            <a:rPr lang="es-ES" sz="1300" baseline="0">
              <a:solidFill>
                <a:schemeClr val="accent6">
                  <a:lumMod val="75000"/>
                </a:schemeClr>
              </a:solidFill>
            </a:rPr>
            <a:t> ventas totales por mes se ve claramente que en FEBRERO es el peor mes. Sobre las ventas por vendedor, esta diferenciado por zonas por lo que se ve en el grafico lo que yo propongo es que los vendedores se especialicen por zonas, es decir, que un vendedor se dedique a 1,2,3 zonas como maximo. Un ejemplo claro son los vendedores </a:t>
          </a:r>
          <a:r>
            <a:rPr lang="es-ES" sz="1300" b="1" baseline="0">
              <a:solidFill>
                <a:schemeClr val="accent6">
                  <a:lumMod val="75000"/>
                </a:schemeClr>
              </a:solidFill>
            </a:rPr>
            <a:t>David León </a:t>
          </a:r>
          <a:r>
            <a:rPr lang="es-ES" sz="1300" baseline="0">
              <a:solidFill>
                <a:schemeClr val="accent6">
                  <a:lumMod val="75000"/>
                </a:schemeClr>
              </a:solidFill>
            </a:rPr>
            <a:t>que donde vende más en el la </a:t>
          </a:r>
          <a:r>
            <a:rPr lang="es-ES" sz="1300" b="1" baseline="0">
              <a:solidFill>
                <a:schemeClr val="accent6">
                  <a:lumMod val="75000"/>
                </a:schemeClr>
              </a:solidFill>
            </a:rPr>
            <a:t>zona Oeste </a:t>
          </a:r>
          <a:r>
            <a:rPr lang="es-ES" sz="1300" baseline="0">
              <a:solidFill>
                <a:schemeClr val="accent6">
                  <a:lumMod val="75000"/>
                </a:schemeClr>
              </a:solidFill>
            </a:rPr>
            <a:t>y </a:t>
          </a:r>
          <a:r>
            <a:rPr lang="es-ES" sz="1300" b="1" baseline="0">
              <a:solidFill>
                <a:schemeClr val="accent6">
                  <a:lumMod val="75000"/>
                </a:schemeClr>
              </a:solidFill>
            </a:rPr>
            <a:t>Mario Ponche </a:t>
          </a:r>
          <a:r>
            <a:rPr lang="es-ES" sz="1300" baseline="0">
              <a:solidFill>
                <a:schemeClr val="accent6">
                  <a:lumMod val="75000"/>
                </a:schemeClr>
              </a:solidFill>
            </a:rPr>
            <a:t>vende menos en esta zona.</a:t>
          </a:r>
        </a:p>
        <a:p>
          <a:r>
            <a:rPr lang="es-ES" sz="1300" b="0" i="0" u="none" strike="noStrike" baseline="0">
              <a:solidFill>
                <a:schemeClr val="accent6">
                  <a:lumMod val="75000"/>
                </a:schemeClr>
              </a:solidFill>
              <a:effectLst/>
              <a:latin typeface="+mn-lt"/>
              <a:ea typeface="+mn-ea"/>
              <a:cs typeface="+mn-cs"/>
            </a:rPr>
            <a:t>Sobre las provincias PALENCIA es la tienda que menos ingresos tiene con una cantidad de </a:t>
          </a:r>
          <a:r>
            <a:rPr lang="es-ES" sz="1300" b="0" i="0" u="none" strike="noStrike">
              <a:solidFill>
                <a:schemeClr val="accent6">
                  <a:lumMod val="75000"/>
                </a:schemeClr>
              </a:solidFill>
              <a:effectLst/>
              <a:latin typeface="+mn-lt"/>
              <a:ea typeface="+mn-ea"/>
              <a:cs typeface="+mn-cs"/>
            </a:rPr>
            <a:t>215.117,00 €</a:t>
          </a:r>
          <a:r>
            <a:rPr lang="es-ES" sz="1300">
              <a:solidFill>
                <a:schemeClr val="accent6">
                  <a:lumMod val="75000"/>
                </a:schemeClr>
              </a:solidFill>
            </a:rPr>
            <a:t> </a:t>
          </a:r>
          <a:endParaRPr lang="es-ES" sz="1300" baseline="0">
            <a:solidFill>
              <a:schemeClr val="accent6">
                <a:lumMod val="75000"/>
              </a:schemeClr>
            </a:solidFill>
          </a:endParaRPr>
        </a:p>
        <a:p>
          <a:endParaRPr lang="es-ES" sz="1100">
            <a:solidFill>
              <a:schemeClr val="accent6">
                <a:lumMod val="75000"/>
              </a:schemeClr>
            </a:solidFill>
          </a:endParaRPr>
        </a:p>
      </xdr:txBody>
    </xdr:sp>
    <xdr:clientData/>
  </xdr:twoCellAnchor>
  <xdr:twoCellAnchor>
    <xdr:from>
      <xdr:col>7</xdr:col>
      <xdr:colOff>762000</xdr:colOff>
      <xdr:row>29</xdr:row>
      <xdr:rowOff>44450</xdr:rowOff>
    </xdr:from>
    <xdr:to>
      <xdr:col>13</xdr:col>
      <xdr:colOff>476250</xdr:colOff>
      <xdr:row>44</xdr:row>
      <xdr:rowOff>85725</xdr:rowOff>
    </xdr:to>
    <xdr:graphicFrame macro="">
      <xdr:nvGraphicFramePr>
        <xdr:cNvPr id="25" name="Gráfico 24">
          <a:extLst>
            <a:ext uri="{FF2B5EF4-FFF2-40B4-BE49-F238E27FC236}">
              <a16:creationId xmlns:a16="http://schemas.microsoft.com/office/drawing/2014/main" id="{F6FAF02D-54D4-4BDF-91B3-76883A4EB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609600</xdr:colOff>
      <xdr:row>23</xdr:row>
      <xdr:rowOff>133351</xdr:rowOff>
    </xdr:from>
    <xdr:to>
      <xdr:col>18</xdr:col>
      <xdr:colOff>130175</xdr:colOff>
      <xdr:row>26</xdr:row>
      <xdr:rowOff>85725</xdr:rowOff>
    </xdr:to>
    <xdr:sp macro="" textlink="$R$14">
      <xdr:nvSpPr>
        <xdr:cNvPr id="26" name="CuadroTexto 25">
          <a:extLst>
            <a:ext uri="{FF2B5EF4-FFF2-40B4-BE49-F238E27FC236}">
              <a16:creationId xmlns:a16="http://schemas.microsoft.com/office/drawing/2014/main" id="{F61CAC98-3ECA-4CE6-9F58-5FE5EEC27731}"/>
            </a:ext>
          </a:extLst>
        </xdr:cNvPr>
        <xdr:cNvSpPr txBox="1"/>
      </xdr:nvSpPr>
      <xdr:spPr>
        <a:xfrm>
          <a:off x="12363450" y="4543426"/>
          <a:ext cx="1997075" cy="49529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34E2DC-0C60-46D5-B66D-53D8188F3245}" type="TxLink">
            <a:rPr lang="en-US" sz="1800" b="0" i="0" u="none" strike="noStrike">
              <a:solidFill>
                <a:srgbClr val="000000"/>
              </a:solidFill>
              <a:latin typeface="Calibri"/>
              <a:ea typeface="Calibri"/>
              <a:cs typeface="Calibri"/>
            </a:rPr>
            <a:pPr algn="ctr"/>
            <a:t>6.090.506,24 €</a:t>
          </a:fld>
          <a:r>
            <a:rPr lang="en-US" sz="1800" b="0" i="0" u="none" strike="noStrike">
              <a:solidFill>
                <a:srgbClr val="000000"/>
              </a:solidFill>
              <a:latin typeface="Calibri"/>
              <a:ea typeface="Calibri"/>
              <a:cs typeface="Calibri"/>
            </a:rPr>
            <a:t> €</a:t>
          </a:r>
          <a:endParaRPr lang="es-ES" sz="1800"/>
        </a:p>
      </xdr:txBody>
    </xdr:sp>
    <xdr:clientData/>
  </xdr:twoCellAnchor>
  <xdr:twoCellAnchor>
    <xdr:from>
      <xdr:col>16</xdr:col>
      <xdr:colOff>552450</xdr:colOff>
      <xdr:row>14</xdr:row>
      <xdr:rowOff>85725</xdr:rowOff>
    </xdr:from>
    <xdr:to>
      <xdr:col>17</xdr:col>
      <xdr:colOff>714375</xdr:colOff>
      <xdr:row>16</xdr:row>
      <xdr:rowOff>111125</xdr:rowOff>
    </xdr:to>
    <xdr:sp macro="" textlink="">
      <xdr:nvSpPr>
        <xdr:cNvPr id="28" name="Diagrama de flujo: proceso alternativo 27">
          <a:hlinkClick xmlns:r="http://schemas.openxmlformats.org/officeDocument/2006/relationships" r:id="rId8"/>
          <a:extLst>
            <a:ext uri="{FF2B5EF4-FFF2-40B4-BE49-F238E27FC236}">
              <a16:creationId xmlns:a16="http://schemas.microsoft.com/office/drawing/2014/main" id="{107C9390-0E2B-42CC-BA61-AF4CC6936BE0}"/>
            </a:ext>
          </a:extLst>
        </xdr:cNvPr>
        <xdr:cNvSpPr/>
      </xdr:nvSpPr>
      <xdr:spPr>
        <a:xfrm>
          <a:off x="12982575" y="2867025"/>
          <a:ext cx="923925" cy="387350"/>
        </a:xfrm>
        <a:prstGeom prst="flowChartAlternateProcess">
          <a:avLst/>
        </a:prstGeom>
        <a:solidFill>
          <a:schemeClr val="accent4">
            <a:lumMod val="20000"/>
            <a:lumOff val="80000"/>
          </a:schemeClr>
        </a:solidFill>
        <a:effectLst>
          <a:outerShdw blurRad="50800" dist="38100" dir="18900000" algn="b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s-ES" sz="1400">
              <a:solidFill>
                <a:schemeClr val="accent6">
                  <a:lumMod val="75000"/>
                </a:schemeClr>
              </a:solidFill>
            </a:rPr>
            <a:t>MENU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ónica Hernández Alonso" refreshedDate="44953.651641666664" createdVersion="8" refreshedVersion="8" minRefreshableVersion="3" recordCount="369" xr:uid="{3E1983A3-4078-45B7-984C-8219C1A62EBB}">
  <cacheSource type="worksheet">
    <worksheetSource name="Table1"/>
  </cacheSource>
  <cacheFields count="17">
    <cacheField name="N orden" numFmtId="0">
      <sharedItems containsSemiMixedTypes="0" containsString="0" containsNumber="1" containsInteger="1" minValue="1001" maxValue="1432"/>
    </cacheField>
    <cacheField name="Fecha de orden" numFmtId="14">
      <sharedItems containsSemiMixedTypes="0" containsNonDate="0" containsDate="1" containsString="0" minDate="2018-01-01T00:00:00" maxDate="2018-12-30T00:00:00" count="149">
        <d v="2018-01-27T00:00:00"/>
        <d v="2018-01-04T00:00:00"/>
        <d v="2018-01-12T00:00:00"/>
        <d v="2018-01-08T00:00:00"/>
        <d v="2018-01-29T00:00:00"/>
        <d v="2018-01-03T00:00:00"/>
        <d v="2018-01-06T00:00:00"/>
        <d v="2018-01-28T00:00:00"/>
        <d v="2018-01-10T00:00:00"/>
        <d v="2018-01-07T00:00:00"/>
        <d v="2018-01-11T00:00:00"/>
        <d v="2018-01-01T00:00:00"/>
        <d v="2018-01-09T00:00:00"/>
        <d v="2018-02-08T00:00:00"/>
        <d v="2018-02-03T00:00:00"/>
        <d v="2018-02-06T00:00:00"/>
        <d v="2018-02-28T00:00:00"/>
        <d v="2018-02-10T00:00:00"/>
        <d v="2018-02-11T00:00:00"/>
        <d v="2018-02-01T00:00:00"/>
        <d v="2018-02-09T00:00:00"/>
        <d v="2018-02-25T00:00:00"/>
        <d v="2018-02-26T00:00:00"/>
        <d v="2018-03-01T00:00:00"/>
        <d v="2018-02-04T00:00:00"/>
        <d v="2018-03-09T00:00:00"/>
        <d v="2018-03-06T00:00:00"/>
        <d v="2018-03-08T00:00:00"/>
        <d v="2018-03-25T00:00:00"/>
        <d v="2018-03-26T00:00:00"/>
        <d v="2018-03-29T00:00:00"/>
        <d v="2018-03-04T00:00:00"/>
        <d v="2018-03-03T00:00:00"/>
        <d v="2018-03-10T00:00:00"/>
        <d v="2018-03-11T00:00:00"/>
        <d v="2018-03-28T00:00:00"/>
        <d v="2018-04-04T00:00:00"/>
        <d v="2018-04-12T00:00:00"/>
        <d v="2018-04-08T00:00:00"/>
        <d v="2018-04-29T00:00:00"/>
        <d v="2018-04-03T00:00:00"/>
        <d v="2018-04-06T00:00:00"/>
        <d v="2018-04-28T00:00:00"/>
        <d v="2018-04-10T00:00:00"/>
        <d v="2018-04-07T00:00:00"/>
        <d v="2018-04-11T00:00:00"/>
        <d v="2018-04-01T00:00:00"/>
        <d v="2018-05-29T00:00:00"/>
        <d v="2018-05-03T00:00:00"/>
        <d v="2018-05-06T00:00:00"/>
        <d v="2018-05-28T00:00:00"/>
        <d v="2018-05-08T00:00:00"/>
        <d v="2018-05-10T00:00:00"/>
        <d v="2018-05-07T00:00:00"/>
        <d v="2018-05-11T00:00:00"/>
        <d v="2018-05-01T00:00:00"/>
        <d v="2018-05-09T00:00:00"/>
        <d v="2018-05-25T00:00:00"/>
        <d v="2018-05-26T00:00:00"/>
        <d v="2018-05-04T00:00:00"/>
        <d v="2018-06-07T00:00:00"/>
        <d v="2018-06-10T00:00:00"/>
        <d v="2018-06-11T00:00:00"/>
        <d v="2018-06-01T00:00:00"/>
        <d v="2018-06-28T00:00:00"/>
        <d v="2018-06-09T00:00:00"/>
        <d v="2018-06-06T00:00:00"/>
        <d v="2018-06-08T00:00:00"/>
        <d v="2018-06-25T00:00:00"/>
        <d v="2018-06-26T00:00:00"/>
        <d v="2018-06-29T00:00:00"/>
        <d v="2018-06-04T00:00:00"/>
        <d v="2018-06-03T00:00:00"/>
        <d v="2018-07-01T00:00:00"/>
        <d v="2018-07-28T00:00:00"/>
        <d v="2018-07-09T00:00:00"/>
        <d v="2018-07-06T00:00:00"/>
        <d v="2018-07-08T00:00:00"/>
        <d v="2018-07-25T00:00:00"/>
        <d v="2018-07-26T00:00:00"/>
        <d v="2018-07-29T00:00:00"/>
        <d v="2018-07-04T00:00:00"/>
        <d v="2018-07-03T00:00:00"/>
        <d v="2018-07-10T00:00:00"/>
        <d v="2018-07-11T00:00:00"/>
        <d v="2018-08-28T00:00:00"/>
        <d v="2018-08-08T00:00:00"/>
        <d v="2018-08-10T00:00:00"/>
        <d v="2018-08-07T00:00:00"/>
        <d v="2018-08-11T00:00:00"/>
        <d v="2018-08-01T00:00:00"/>
        <d v="2018-08-09T00:00:00"/>
        <d v="2018-08-06T00:00:00"/>
        <d v="2018-08-25T00:00:00"/>
        <d v="2018-08-26T00:00:00"/>
        <d v="2018-08-29T00:00:00"/>
        <d v="2018-08-04T00:00:00"/>
        <d v="2018-09-10T00:00:00"/>
        <d v="2018-09-11T00:00:00"/>
        <d v="2018-09-01T00:00:00"/>
        <d v="2018-09-28T00:00:00"/>
        <d v="2018-09-09T00:00:00"/>
        <d v="2018-09-06T00:00:00"/>
        <d v="2018-09-08T00:00:00"/>
        <d v="2018-09-25T00:00:00"/>
        <d v="2018-09-26T00:00:00"/>
        <d v="2018-09-29T00:00:00"/>
        <d v="2018-09-04T00:00:00"/>
        <d v="2018-09-03T00:00:00"/>
        <d v="2018-10-06T00:00:00"/>
        <d v="2018-10-28T00:00:00"/>
        <d v="2018-10-08T00:00:00"/>
        <d v="2018-10-10T00:00:00"/>
        <d v="2018-10-07T00:00:00"/>
        <d v="2018-10-11T00:00:00"/>
        <d v="2018-10-01T00:00:00"/>
        <d v="2018-10-09T00:00:00"/>
        <d v="2018-10-25T00:00:00"/>
        <d v="2018-10-26T00:00:00"/>
        <d v="2018-10-29T00:00:00"/>
        <d v="2018-10-04T00:00:00"/>
        <d v="2018-10-03T00:00:00"/>
        <d v="2018-11-10T00:00:00"/>
        <d v="2018-11-11T00:00:00"/>
        <d v="2018-11-01T00:00:00"/>
        <d v="2018-11-28T00:00:00"/>
        <d v="2018-11-09T00:00:00"/>
        <d v="2018-11-06T00:00:00"/>
        <d v="2018-11-08T00:00:00"/>
        <d v="2018-11-25T00:00:00"/>
        <d v="2018-11-26T00:00:00"/>
        <d v="2018-11-29T00:00:00"/>
        <d v="2018-11-04T00:00:00"/>
        <d v="2018-11-03T00:00:00"/>
        <d v="2018-12-27T00:00:00"/>
        <d v="2018-12-04T00:00:00"/>
        <d v="2018-12-12T00:00:00"/>
        <d v="2018-12-08T00:00:00"/>
        <d v="2018-12-29T00:00:00"/>
        <d v="2018-12-03T00:00:00"/>
        <d v="2018-12-06T00:00:00"/>
        <d v="2018-12-28T00:00:00"/>
        <d v="2018-12-10T00:00:00"/>
        <d v="2018-12-07T00:00:00"/>
        <d v="2018-12-11T00:00:00"/>
        <d v="2018-12-01T00:00:00"/>
        <d v="2018-12-09T00:00:00"/>
        <d v="2018-12-25T00:00:00"/>
        <d v="2018-12-26T00:00:00"/>
      </sharedItems>
    </cacheField>
    <cacheField name="Num. cliente" numFmtId="0">
      <sharedItems containsSemiMixedTypes="0" containsString="0" containsNumber="1" containsInteger="1" minValue="1" maxValue="29"/>
    </cacheField>
    <cacheField name="Nombre cliente" numFmtId="0">
      <sharedItems/>
    </cacheField>
    <cacheField name="provincia" numFmtId="0">
      <sharedItems count="12">
        <s v="Palencia"/>
        <s v="Valladolid"/>
        <s v="Salamanca"/>
        <s v="Sevilla"/>
        <s v="Álava"/>
        <s v="Zamora"/>
        <s v="Ceuta"/>
        <s v="Madrid"/>
        <s v="Alicante"/>
        <s v="Almería"/>
        <s v="Melilla"/>
        <s v="La Coruña"/>
      </sharedItems>
    </cacheField>
    <cacheField name="Vendedor" numFmtId="0">
      <sharedItems count="8">
        <s v="Mario Ponche"/>
        <s v="María de la Peña"/>
        <s v="Alejando ameno"/>
        <s v="David Léon"/>
        <s v="Juan de la Cruz"/>
        <s v="Luis de la fuente"/>
        <s v="Laila Moreno"/>
        <s v="Cesar del Valle"/>
      </sharedItems>
    </cacheField>
    <cacheField name="Region" numFmtId="0">
      <sharedItems count="4">
        <s v="Norte"/>
        <s v="Sur"/>
        <s v="Este"/>
        <s v="Oeste"/>
      </sharedItems>
    </cacheField>
    <cacheField name="Fecha de embarque" numFmtId="164">
      <sharedItems containsNonDate="0" containsDate="1" containsString="0" containsBlank="1" minDate="2018-01-05T00:00:00" maxDate="2019-01-01T00:00:00" count="119">
        <d v="2018-01-29T00:00:00"/>
        <d v="2018-01-06T00:00:00"/>
        <d v="2018-01-14T00:00:00"/>
        <d v="2018-01-10T00:00:00"/>
        <d v="2018-01-31T00:00:00"/>
        <d v="2018-01-05T00:00:00"/>
        <d v="2018-01-08T00:00:00"/>
        <d v="2018-01-30T00:00:00"/>
        <d v="2018-01-12T00:00:00"/>
        <m/>
        <d v="2018-01-11T00:00:00"/>
        <d v="2018-02-10T00:00:00"/>
        <d v="2018-02-05T00:00:00"/>
        <d v="2018-02-08T00:00:00"/>
        <d v="2018-03-02T00:00:00"/>
        <d v="2018-02-12T00:00:00"/>
        <d v="2018-02-11T00:00:00"/>
        <d v="2018-02-27T00:00:00"/>
        <d v="2018-02-28T00:00:00"/>
        <d v="2018-03-03T00:00:00"/>
        <d v="2018-03-11T00:00:00"/>
        <d v="2018-03-08T00:00:00"/>
        <d v="2018-03-10T00:00:00"/>
        <d v="2018-03-27T00:00:00"/>
        <d v="2018-03-28T00:00:00"/>
        <d v="2018-03-31T00:00:00"/>
        <d v="2018-03-06T00:00:00"/>
        <d v="2018-03-05T00:00:00"/>
        <d v="2018-03-12T00:00:00"/>
        <d v="2018-03-30T00:00:00"/>
        <d v="2018-04-06T00:00:00"/>
        <d v="2018-04-14T00:00:00"/>
        <d v="2018-04-10T00:00:00"/>
        <d v="2018-05-01T00:00:00"/>
        <d v="2018-04-05T00:00:00"/>
        <d v="2018-04-08T00:00:00"/>
        <d v="2018-04-30T00:00:00"/>
        <d v="2018-04-12T00:00:00"/>
        <d v="2018-05-31T00:00:00"/>
        <d v="2018-05-05T00:00:00"/>
        <d v="2018-05-08T00:00:00"/>
        <d v="2018-05-30T00:00:00"/>
        <d v="2018-05-10T00:00:00"/>
        <d v="2018-05-12T00:00:00"/>
        <d v="2018-05-11T00:00:00"/>
        <d v="2018-05-27T00:00:00"/>
        <d v="2018-05-28T00:00:00"/>
        <d v="2018-05-06T00:00:00"/>
        <d v="2018-06-12T00:00:00"/>
        <d v="2018-06-30T00:00:00"/>
        <d v="2018-06-11T00:00:00"/>
        <d v="2018-06-08T00:00:00"/>
        <d v="2018-06-10T00:00:00"/>
        <d v="2018-06-27T00:00:00"/>
        <d v="2018-06-28T00:00:00"/>
        <d v="2018-07-01T00:00:00"/>
        <d v="2018-06-06T00:00:00"/>
        <d v="2018-06-05T00:00:00"/>
        <d v="2018-07-30T00:00:00"/>
        <d v="2018-07-11T00:00:00"/>
        <d v="2018-07-08T00:00:00"/>
        <d v="2018-07-10T00:00:00"/>
        <d v="2018-07-27T00:00:00"/>
        <d v="2018-07-28T00:00:00"/>
        <d v="2018-07-31T00:00:00"/>
        <d v="2018-07-06T00:00:00"/>
        <d v="2018-07-05T00:00:00"/>
        <d v="2018-07-12T00:00:00"/>
        <d v="2018-08-30T00:00:00"/>
        <d v="2018-08-10T00:00:00"/>
        <d v="2018-08-12T00:00:00"/>
        <d v="2018-08-11T00:00:00"/>
        <d v="2018-08-08T00:00:00"/>
        <d v="2018-08-27T00:00:00"/>
        <d v="2018-08-28T00:00:00"/>
        <d v="2018-08-31T00:00:00"/>
        <d v="2018-08-06T00:00:00"/>
        <d v="2018-09-12T00:00:00"/>
        <d v="2018-09-30T00:00:00"/>
        <d v="2018-09-11T00:00:00"/>
        <d v="2018-09-08T00:00:00"/>
        <d v="2018-09-10T00:00:00"/>
        <d v="2018-09-27T00:00:00"/>
        <d v="2018-09-28T00:00:00"/>
        <d v="2018-10-01T00:00:00"/>
        <d v="2018-09-06T00:00:00"/>
        <d v="2018-09-05T00:00:00"/>
        <d v="2018-10-08T00:00:00"/>
        <d v="2018-10-30T00:00:00"/>
        <d v="2018-10-10T00:00:00"/>
        <d v="2018-10-12T00:00:00"/>
        <d v="2018-10-11T00:00:00"/>
        <d v="2018-10-27T00:00:00"/>
        <d v="2018-10-28T00:00:00"/>
        <d v="2018-10-31T00:00:00"/>
        <d v="2018-10-06T00:00:00"/>
        <d v="2018-10-05T00:00:00"/>
        <d v="2018-11-12T00:00:00"/>
        <d v="2018-11-30T00:00:00"/>
        <d v="2018-11-11T00:00:00"/>
        <d v="2018-11-08T00:00:00"/>
        <d v="2018-11-10T00:00:00"/>
        <d v="2018-11-27T00:00:00"/>
        <d v="2018-11-28T00:00:00"/>
        <d v="2018-12-01T00:00:00"/>
        <d v="2018-11-06T00:00:00"/>
        <d v="2018-11-05T00:00:00"/>
        <d v="2018-12-29T00:00:00"/>
        <d v="2018-12-06T00:00:00"/>
        <d v="2018-12-14T00:00:00"/>
        <d v="2018-12-10T00:00:00"/>
        <d v="2018-12-31T00:00:00"/>
        <d v="2018-12-05T00:00:00"/>
        <d v="2018-12-08T00:00:00"/>
        <d v="2018-12-30T00:00:00"/>
        <d v="2018-12-12T00:00:00"/>
        <d v="2018-12-11T00:00:00"/>
        <d v="2018-12-27T00:00:00"/>
        <d v="2018-12-28T00:00:00"/>
      </sharedItems>
      <fieldGroup par="16" base="7">
        <rangePr groupBy="days" startDate="2018-01-05T00:00:00" endDate="2019-01-01T00:00:00"/>
        <groupItems count="368">
          <s v="(en blanco)"/>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19"/>
        </groupItems>
      </fieldGroup>
    </cacheField>
    <cacheField name="Empresa fletera" numFmtId="0">
      <sharedItems containsBlank="1" count="4">
        <s v="Empresa de embarque B"/>
        <s v="Empresa de embarque A"/>
        <s v="Empresa de embarque C"/>
        <m/>
      </sharedItems>
    </cacheField>
    <cacheField name="Forma de pago" numFmtId="0">
      <sharedItems containsBlank="1"/>
    </cacheField>
    <cacheField name="Producto" numFmtId="0">
      <sharedItems containsBlank="1" count="25">
        <s v="Cerveza"/>
        <s v="Ciruelas secas"/>
        <s v="Peras secas"/>
        <s v="Manzanas secas"/>
        <s v="Té chai"/>
        <s v="Café"/>
        <s v="Galletas de chocolate"/>
        <s v="Chocolate"/>
        <s v="Almejas"/>
        <s v="Salsa curry"/>
        <s v="Té verde"/>
        <s v="Mermelada de Fresa"/>
        <s v="Condimentos"/>
        <s v="Carne de cangrejo"/>
        <s v="Ravioli"/>
        <s v="Mozzarella"/>
        <s v="Jarabe de Arce"/>
        <m/>
        <s v="Almendras"/>
        <s v="Cóctel de frutas"/>
        <s v="Pasta penne"/>
        <s v="Bollos"/>
        <s v="Aceite de oliva"/>
        <s v="Mermelada de zarzamora"/>
        <s v="Arroz de grano largo"/>
      </sharedItems>
    </cacheField>
    <cacheField name="Categoría" numFmtId="0">
      <sharedItems/>
    </cacheField>
    <cacheField name="Precio unitario" numFmtId="166">
      <sharedItems containsString="0" containsBlank="1" containsNumber="1" minValue="41.86" maxValue="1134" count="23">
        <n v="196"/>
        <n v="49"/>
        <n v="420"/>
        <n v="742"/>
        <n v="252"/>
        <n v="644"/>
        <n v="128.79999999999998"/>
        <n v="178.5"/>
        <n v="135.1"/>
        <n v="560"/>
        <n v="41.86"/>
        <n v="350"/>
        <n v="308"/>
        <n v="257.59999999999997"/>
        <n v="273"/>
        <n v="487.19999999999993"/>
        <n v="140"/>
        <m/>
        <n v="546"/>
        <n v="532"/>
        <n v="298.90000000000003"/>
        <n v="1134"/>
        <n v="98"/>
      </sharedItems>
    </cacheField>
    <cacheField name="Cantidad" numFmtId="0">
      <sharedItems containsString="0" containsBlank="1" containsNumber="1" containsInteger="1" minValue="10" maxValue="100"/>
    </cacheField>
    <cacheField name="Ingresos" numFmtId="167">
      <sharedItems containsString="0" containsBlank="1" containsNumber="1" minValue="539" maxValue="111132"/>
    </cacheField>
    <cacheField name="Tarifa de envío" numFmtId="166">
      <sharedItems containsSemiMixedTypes="0" containsString="0" containsNumber="1" minValue="52.283000000000001" maxValue="10779.804"/>
    </cacheField>
    <cacheField name="Meses" numFmtId="0" databaseField="0">
      <fieldGroup base="7">
        <rangePr groupBy="months" startDate="2018-01-05T00:00:00" endDate="2019-01-01T00:00:00"/>
        <groupItems count="14">
          <s v="&lt;05/01/2018"/>
          <s v="ene"/>
          <s v="feb"/>
          <s v="mar"/>
          <s v="abr"/>
          <s v="may"/>
          <s v="jun"/>
          <s v="jul"/>
          <s v="ago"/>
          <s v="sep"/>
          <s v="oct"/>
          <s v="nov"/>
          <s v="dic"/>
          <s v="&gt;01/01/2019"/>
        </groupItems>
      </fieldGroup>
    </cacheField>
  </cacheFields>
  <extLst>
    <ext xmlns:x14="http://schemas.microsoft.com/office/spreadsheetml/2009/9/main" uri="{725AE2AE-9491-48be-B2B4-4EB974FC3084}">
      <x14:pivotCacheDefinition pivotCacheId="2083469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s v="Empresa AA"/>
    <x v="0"/>
    <x v="0"/>
    <x v="0"/>
    <x v="0"/>
    <x v="0"/>
    <s v="Cheque"/>
    <x v="0"/>
    <s v="Bebidas"/>
    <x v="0"/>
    <n v="49"/>
    <n v="9604"/>
    <n v="931.58799999999997"/>
  </r>
  <r>
    <n v="1002"/>
    <x v="0"/>
    <n v="27"/>
    <s v="Empresa AA"/>
    <x v="0"/>
    <x v="0"/>
    <x v="1"/>
    <x v="0"/>
    <x v="0"/>
    <s v="Cheque"/>
    <x v="1"/>
    <s v="Frutas secas"/>
    <x v="1"/>
    <n v="47"/>
    <n v="2303"/>
    <n v="232.60300000000001"/>
  </r>
  <r>
    <n v="1003"/>
    <x v="1"/>
    <n v="4"/>
    <s v="Empresa D"/>
    <x v="1"/>
    <x v="1"/>
    <x v="2"/>
    <x v="1"/>
    <x v="1"/>
    <s v="Tarjeta de crédito"/>
    <x v="2"/>
    <s v="Frutas secas"/>
    <x v="2"/>
    <n v="69"/>
    <n v="28980"/>
    <n v="2782.08"/>
  </r>
  <r>
    <n v="1004"/>
    <x v="1"/>
    <n v="4"/>
    <s v="Empresa D"/>
    <x v="1"/>
    <x v="1"/>
    <x v="3"/>
    <x v="1"/>
    <x v="1"/>
    <s v="Tarjeta de crédito"/>
    <x v="3"/>
    <s v="Frutas secas"/>
    <x v="3"/>
    <n v="89"/>
    <n v="66038"/>
    <n v="6273.6100000000006"/>
  </r>
  <r>
    <n v="1005"/>
    <x v="1"/>
    <n v="4"/>
    <s v="Empresa D"/>
    <x v="1"/>
    <x v="1"/>
    <x v="0"/>
    <x v="1"/>
    <x v="1"/>
    <s v="Tarjeta de crédito"/>
    <x v="1"/>
    <s v="Frutas secas"/>
    <x v="1"/>
    <n v="11"/>
    <n v="539"/>
    <n v="52.283000000000001"/>
  </r>
  <r>
    <n v="1006"/>
    <x v="2"/>
    <n v="12"/>
    <s v="Empresa L"/>
    <x v="0"/>
    <x v="0"/>
    <x v="1"/>
    <x v="2"/>
    <x v="0"/>
    <s v="Tarjeta de crédito"/>
    <x v="4"/>
    <s v="Bebidas"/>
    <x v="4"/>
    <n v="81"/>
    <n v="20412"/>
    <n v="1979.9640000000002"/>
  </r>
  <r>
    <n v="1007"/>
    <x v="2"/>
    <n v="12"/>
    <s v="Empresa L"/>
    <x v="0"/>
    <x v="0"/>
    <x v="2"/>
    <x v="2"/>
    <x v="0"/>
    <s v="Tarjeta de crédito"/>
    <x v="5"/>
    <s v="Bebidas"/>
    <x v="5"/>
    <n v="44"/>
    <n v="28336"/>
    <n v="2776.9279999999999"/>
  </r>
  <r>
    <n v="1008"/>
    <x v="3"/>
    <n v="8"/>
    <s v="Empresa H"/>
    <x v="2"/>
    <x v="2"/>
    <x v="3"/>
    <x v="3"/>
    <x v="2"/>
    <s v="Tarjeta de crédito"/>
    <x v="6"/>
    <s v="Productos horneados"/>
    <x v="6"/>
    <n v="38"/>
    <n v="4894.3999999999996"/>
    <n v="504.1232"/>
  </r>
  <r>
    <n v="1009"/>
    <x v="1"/>
    <n v="4"/>
    <s v="Empresa D"/>
    <x v="1"/>
    <x v="1"/>
    <x v="0"/>
    <x v="1"/>
    <x v="2"/>
    <s v="Cheque"/>
    <x v="6"/>
    <s v="Productos horneados"/>
    <x v="6"/>
    <n v="88"/>
    <n v="11334.399999999998"/>
    <n v="1110.7711999999999"/>
  </r>
  <r>
    <n v="1010"/>
    <x v="4"/>
    <n v="29"/>
    <s v="Empresa CC"/>
    <x v="3"/>
    <x v="3"/>
    <x v="1"/>
    <x v="4"/>
    <x v="0"/>
    <s v="Cheque"/>
    <x v="7"/>
    <s v="Dulces"/>
    <x v="7"/>
    <n v="94"/>
    <n v="16779"/>
    <n v="1711.4580000000001"/>
  </r>
  <r>
    <n v="1011"/>
    <x v="5"/>
    <n v="3"/>
    <s v="Empresa C"/>
    <x v="4"/>
    <x v="0"/>
    <x v="2"/>
    <x v="5"/>
    <x v="0"/>
    <s v="Efectivo"/>
    <x v="8"/>
    <s v="Sopas"/>
    <x v="8"/>
    <n v="91"/>
    <n v="12294.1"/>
    <n v="1290.8805"/>
  </r>
  <r>
    <n v="1012"/>
    <x v="6"/>
    <n v="6"/>
    <s v="Empresa F"/>
    <x v="5"/>
    <x v="4"/>
    <x v="3"/>
    <x v="6"/>
    <x v="0"/>
    <s v="Tarjeta de crédito"/>
    <x v="9"/>
    <s v="Salsas"/>
    <x v="9"/>
    <n v="32"/>
    <n v="17920"/>
    <n v="1863.68"/>
  </r>
  <r>
    <n v="1013"/>
    <x v="7"/>
    <n v="28"/>
    <s v="Empresa BB"/>
    <x v="6"/>
    <x v="5"/>
    <x v="0"/>
    <x v="7"/>
    <x v="2"/>
    <s v="Cheque"/>
    <x v="5"/>
    <s v="Bebidas"/>
    <x v="5"/>
    <n v="55"/>
    <n v="35420"/>
    <n v="3542"/>
  </r>
  <r>
    <n v="1014"/>
    <x v="3"/>
    <n v="8"/>
    <s v="Empresa H"/>
    <x v="2"/>
    <x v="2"/>
    <x v="1"/>
    <x v="3"/>
    <x v="2"/>
    <s v="Cheque"/>
    <x v="7"/>
    <s v="Dulces"/>
    <x v="7"/>
    <n v="47"/>
    <n v="8389.5"/>
    <n v="864.11850000000004"/>
  </r>
  <r>
    <n v="1015"/>
    <x v="8"/>
    <n v="10"/>
    <s v="Empresa J"/>
    <x v="7"/>
    <x v="6"/>
    <x v="2"/>
    <x v="8"/>
    <x v="0"/>
    <s v="Tarjeta de crédito"/>
    <x v="10"/>
    <s v="Bebidas"/>
    <x v="10"/>
    <n v="90"/>
    <n v="3767.4"/>
    <n v="388.04220000000009"/>
  </r>
  <r>
    <n v="1016"/>
    <x v="9"/>
    <n v="7"/>
    <s v="Empresa G"/>
    <x v="8"/>
    <x v="2"/>
    <x v="3"/>
    <x v="9"/>
    <x v="3"/>
    <m/>
    <x v="5"/>
    <s v="Bebidas"/>
    <x v="5"/>
    <n v="24"/>
    <n v="15456"/>
    <n v="1545.6000000000001"/>
  </r>
  <r>
    <n v="1017"/>
    <x v="8"/>
    <n v="10"/>
    <s v="Empresa J"/>
    <x v="7"/>
    <x v="6"/>
    <x v="0"/>
    <x v="8"/>
    <x v="1"/>
    <m/>
    <x v="11"/>
    <s v="Mermeladas y jaleas"/>
    <x v="11"/>
    <n v="34"/>
    <n v="11900"/>
    <n v="1130.5"/>
  </r>
  <r>
    <n v="1018"/>
    <x v="8"/>
    <n v="10"/>
    <s v="Empresa J"/>
    <x v="7"/>
    <x v="6"/>
    <x v="1"/>
    <x v="8"/>
    <x v="1"/>
    <m/>
    <x v="12"/>
    <s v="Condimentos"/>
    <x v="12"/>
    <n v="17"/>
    <n v="5236"/>
    <n v="502.65599999999995"/>
  </r>
  <r>
    <n v="1019"/>
    <x v="8"/>
    <n v="10"/>
    <s v="Empresa J"/>
    <x v="7"/>
    <x v="6"/>
    <x v="2"/>
    <x v="8"/>
    <x v="1"/>
    <m/>
    <x v="6"/>
    <s v="Productos horneados"/>
    <x v="6"/>
    <n v="44"/>
    <n v="5667.1999999999989"/>
    <n v="589.38879999999995"/>
  </r>
  <r>
    <n v="1020"/>
    <x v="10"/>
    <n v="11"/>
    <s v="Empresa K"/>
    <x v="9"/>
    <x v="5"/>
    <x v="3"/>
    <x v="9"/>
    <x v="2"/>
    <m/>
    <x v="1"/>
    <s v="Frutas secas"/>
    <x v="1"/>
    <n v="81"/>
    <n v="3969"/>
    <n v="384.99299999999999"/>
  </r>
  <r>
    <n v="1021"/>
    <x v="10"/>
    <n v="11"/>
    <s v="Empresa K"/>
    <x v="9"/>
    <x v="5"/>
    <x v="0"/>
    <x v="9"/>
    <x v="2"/>
    <m/>
    <x v="10"/>
    <s v="Bebidas"/>
    <x v="10"/>
    <n v="49"/>
    <n v="2051.14"/>
    <n v="211.26742000000007"/>
  </r>
  <r>
    <n v="1022"/>
    <x v="11"/>
    <n v="1"/>
    <s v="Empresa A"/>
    <x v="10"/>
    <x v="2"/>
    <x v="1"/>
    <x v="9"/>
    <x v="3"/>
    <m/>
    <x v="4"/>
    <s v="Bebidas"/>
    <x v="4"/>
    <n v="42"/>
    <n v="10584"/>
    <n v="1058.4000000000001"/>
  </r>
  <r>
    <n v="1023"/>
    <x v="11"/>
    <n v="1"/>
    <s v="Empresa A"/>
    <x v="10"/>
    <x v="2"/>
    <x v="2"/>
    <x v="9"/>
    <x v="3"/>
    <m/>
    <x v="5"/>
    <s v="Bebidas"/>
    <x v="5"/>
    <n v="58"/>
    <n v="37352"/>
    <n v="3772.5520000000001"/>
  </r>
  <r>
    <n v="1024"/>
    <x v="11"/>
    <n v="1"/>
    <s v="Empresa A"/>
    <x v="10"/>
    <x v="2"/>
    <x v="3"/>
    <x v="9"/>
    <x v="3"/>
    <m/>
    <x v="10"/>
    <s v="Bebidas"/>
    <x v="10"/>
    <n v="67"/>
    <n v="2804.62"/>
    <n v="280.46199999999999"/>
  </r>
  <r>
    <n v="1025"/>
    <x v="7"/>
    <n v="28"/>
    <s v="Empresa BB"/>
    <x v="6"/>
    <x v="5"/>
    <x v="0"/>
    <x v="7"/>
    <x v="2"/>
    <s v="Tarjeta de crédito"/>
    <x v="8"/>
    <s v="Sopas"/>
    <x v="8"/>
    <n v="100"/>
    <n v="13510"/>
    <n v="1310.47"/>
  </r>
  <r>
    <n v="1026"/>
    <x v="7"/>
    <n v="28"/>
    <s v="Empresa BB"/>
    <x v="6"/>
    <x v="5"/>
    <x v="1"/>
    <x v="7"/>
    <x v="2"/>
    <s v="Tarjeta de crédito"/>
    <x v="13"/>
    <s v="Carne "/>
    <x v="13"/>
    <n v="63"/>
    <n v="16228.799999999997"/>
    <n v="1606.6511999999998"/>
  </r>
  <r>
    <n v="1027"/>
    <x v="12"/>
    <n v="9"/>
    <s v="Empresa I"/>
    <x v="11"/>
    <x v="7"/>
    <x v="2"/>
    <x v="10"/>
    <x v="1"/>
    <s v="Cheque"/>
    <x v="14"/>
    <s v="Pasta"/>
    <x v="14"/>
    <n v="57"/>
    <n v="15561"/>
    <n v="1540.539"/>
  </r>
  <r>
    <n v="1028"/>
    <x v="12"/>
    <n v="9"/>
    <s v="Empresa I"/>
    <x v="11"/>
    <x v="7"/>
    <x v="3"/>
    <x v="10"/>
    <x v="1"/>
    <s v="Cheque"/>
    <x v="15"/>
    <s v="Productos lácteos"/>
    <x v="15"/>
    <n v="81"/>
    <n v="39463.199999999997"/>
    <n v="4143.6359999999995"/>
  </r>
  <r>
    <n v="1029"/>
    <x v="6"/>
    <n v="6"/>
    <s v="Empresa F"/>
    <x v="5"/>
    <x v="4"/>
    <x v="0"/>
    <x v="6"/>
    <x v="0"/>
    <s v="Tarjeta de crédito"/>
    <x v="0"/>
    <s v="Bebidas"/>
    <x v="0"/>
    <n v="71"/>
    <n v="13916"/>
    <n v="1335.9360000000001"/>
  </r>
  <r>
    <n v="1030"/>
    <x v="13"/>
    <n v="8"/>
    <s v="Empresa H"/>
    <x v="2"/>
    <x v="2"/>
    <x v="1"/>
    <x v="11"/>
    <x v="0"/>
    <s v="Cheque"/>
    <x v="9"/>
    <s v="Salsas"/>
    <x v="9"/>
    <n v="32"/>
    <n v="17920"/>
    <n v="1809.92"/>
  </r>
  <r>
    <n v="1031"/>
    <x v="14"/>
    <n v="3"/>
    <s v="Empresa C"/>
    <x v="4"/>
    <x v="0"/>
    <x v="2"/>
    <x v="12"/>
    <x v="0"/>
    <s v="Efectivo"/>
    <x v="16"/>
    <s v="Condimentos"/>
    <x v="16"/>
    <n v="63"/>
    <n v="8820"/>
    <n v="917.28"/>
  </r>
  <r>
    <n v="1032"/>
    <x v="14"/>
    <n v="3"/>
    <s v="Empresa C"/>
    <x v="4"/>
    <x v="0"/>
    <x v="3"/>
    <x v="12"/>
    <x v="0"/>
    <s v="Efectivo"/>
    <x v="9"/>
    <s v="Salsas"/>
    <x v="9"/>
    <n v="30"/>
    <n v="16800"/>
    <n v="1680"/>
  </r>
  <r>
    <n v="1033"/>
    <x v="15"/>
    <n v="6"/>
    <s v="Empresa F"/>
    <x v="5"/>
    <x v="4"/>
    <x v="0"/>
    <x v="13"/>
    <x v="0"/>
    <s v="Tarjeta de crédito"/>
    <x v="17"/>
    <s v="Tarifa de envío"/>
    <x v="17"/>
    <m/>
    <m/>
    <n v="602"/>
  </r>
  <r>
    <n v="1034"/>
    <x v="16"/>
    <n v="28"/>
    <s v="Empresa BB"/>
    <x v="6"/>
    <x v="5"/>
    <x v="1"/>
    <x v="14"/>
    <x v="2"/>
    <s v="Cheque"/>
    <x v="17"/>
    <s v="Tarifa de envío"/>
    <x v="17"/>
    <m/>
    <m/>
    <n v="434"/>
  </r>
  <r>
    <n v="1035"/>
    <x v="13"/>
    <n v="8"/>
    <s v="Empresa H"/>
    <x v="2"/>
    <x v="2"/>
    <x v="2"/>
    <x v="11"/>
    <x v="2"/>
    <s v="Cheque"/>
    <x v="17"/>
    <s v="Tarifa de envío"/>
    <x v="17"/>
    <m/>
    <m/>
    <n v="644"/>
  </r>
  <r>
    <n v="1036"/>
    <x v="17"/>
    <n v="10"/>
    <s v="Empresa J"/>
    <x v="7"/>
    <x v="6"/>
    <x v="3"/>
    <x v="15"/>
    <x v="0"/>
    <s v="Tarjeta de crédito"/>
    <x v="18"/>
    <s v="Frutas secas"/>
    <x v="16"/>
    <n v="47"/>
    <n v="6580"/>
    <n v="684.32"/>
  </r>
  <r>
    <n v="1038"/>
    <x v="17"/>
    <n v="10"/>
    <s v="Empresa J"/>
    <x v="7"/>
    <x v="6"/>
    <x v="0"/>
    <x v="9"/>
    <x v="1"/>
    <m/>
    <x v="1"/>
    <s v="Frutas secas"/>
    <x v="1"/>
    <n v="49"/>
    <n v="2401"/>
    <n v="230.49600000000004"/>
  </r>
  <r>
    <n v="1039"/>
    <x v="18"/>
    <n v="11"/>
    <s v="Empresa K"/>
    <x v="9"/>
    <x v="5"/>
    <x v="1"/>
    <x v="9"/>
    <x v="2"/>
    <m/>
    <x v="9"/>
    <s v="Salsas"/>
    <x v="9"/>
    <n v="72"/>
    <n v="40320"/>
    <n v="3991.6800000000003"/>
  </r>
  <r>
    <n v="1040"/>
    <x v="19"/>
    <n v="1"/>
    <s v="Empresa A"/>
    <x v="10"/>
    <x v="2"/>
    <x v="2"/>
    <x v="9"/>
    <x v="2"/>
    <m/>
    <x v="13"/>
    <s v="Carne "/>
    <x v="13"/>
    <n v="13"/>
    <n v="3348.7999999999997"/>
    <n v="331.53120000000001"/>
  </r>
  <r>
    <n v="1041"/>
    <x v="16"/>
    <n v="28"/>
    <s v="Empresa BB"/>
    <x v="6"/>
    <x v="5"/>
    <x v="3"/>
    <x v="14"/>
    <x v="2"/>
    <s v="Tarjeta de crédito"/>
    <x v="5"/>
    <s v="Bebidas"/>
    <x v="5"/>
    <n v="32"/>
    <n v="20608"/>
    <n v="2081.4080000000004"/>
  </r>
  <r>
    <n v="1042"/>
    <x v="20"/>
    <n v="9"/>
    <s v="Empresa I"/>
    <x v="11"/>
    <x v="7"/>
    <x v="0"/>
    <x v="16"/>
    <x v="1"/>
    <s v="Cheque"/>
    <x v="8"/>
    <s v="Sopas"/>
    <x v="8"/>
    <n v="27"/>
    <n v="3647.7"/>
    <n v="346.53150000000005"/>
  </r>
  <r>
    <n v="1043"/>
    <x v="15"/>
    <n v="6"/>
    <s v="Empresa F"/>
    <x v="5"/>
    <x v="4"/>
    <x v="1"/>
    <x v="13"/>
    <x v="0"/>
    <s v="Tarjeta de crédito"/>
    <x v="7"/>
    <s v="Dulces"/>
    <x v="7"/>
    <n v="71"/>
    <n v="12673.5"/>
    <n v="1280.0235"/>
  </r>
  <r>
    <n v="1044"/>
    <x v="13"/>
    <n v="8"/>
    <s v="Empresa H"/>
    <x v="2"/>
    <x v="2"/>
    <x v="2"/>
    <x v="11"/>
    <x v="0"/>
    <s v="Cheque"/>
    <x v="7"/>
    <s v="Dulces"/>
    <x v="7"/>
    <n v="13"/>
    <n v="2320.5"/>
    <n v="220.44749999999996"/>
  </r>
  <r>
    <n v="1045"/>
    <x v="21"/>
    <n v="25"/>
    <s v="Empresa Y"/>
    <x v="7"/>
    <x v="6"/>
    <x v="3"/>
    <x v="17"/>
    <x v="1"/>
    <s v="Efectivo"/>
    <x v="12"/>
    <s v="Condimentos"/>
    <x v="12"/>
    <n v="98"/>
    <n v="30184"/>
    <n v="2867.4800000000005"/>
  </r>
  <r>
    <n v="1046"/>
    <x v="22"/>
    <n v="26"/>
    <s v="Empresa Z"/>
    <x v="9"/>
    <x v="5"/>
    <x v="0"/>
    <x v="18"/>
    <x v="2"/>
    <s v="Tarjeta de crédito"/>
    <x v="11"/>
    <s v="Mermeladas y jaleas"/>
    <x v="11"/>
    <n v="21"/>
    <n v="7350"/>
    <n v="749.7"/>
  </r>
  <r>
    <n v="1047"/>
    <x v="23"/>
    <n v="29"/>
    <s v="Empresa CC"/>
    <x v="3"/>
    <x v="3"/>
    <x v="1"/>
    <x v="19"/>
    <x v="0"/>
    <s v="Cheque"/>
    <x v="19"/>
    <s v="Frutas y vegetales"/>
    <x v="18"/>
    <n v="26"/>
    <n v="14196"/>
    <n v="1490.5800000000002"/>
  </r>
  <r>
    <n v="1048"/>
    <x v="15"/>
    <n v="6"/>
    <s v="Empresa F"/>
    <x v="5"/>
    <x v="4"/>
    <x v="2"/>
    <x v="13"/>
    <x v="2"/>
    <s v="Cheque"/>
    <x v="2"/>
    <s v="Frutas secas"/>
    <x v="2"/>
    <n v="96"/>
    <n v="40320"/>
    <n v="4152.96"/>
  </r>
  <r>
    <n v="1049"/>
    <x v="15"/>
    <n v="6"/>
    <s v="Empresa F"/>
    <x v="5"/>
    <x v="4"/>
    <x v="3"/>
    <x v="13"/>
    <x v="2"/>
    <s v="Cheque"/>
    <x v="3"/>
    <s v="Frutas secas"/>
    <x v="3"/>
    <n v="16"/>
    <n v="11872"/>
    <n v="1234.6880000000003"/>
  </r>
  <r>
    <n v="1050"/>
    <x v="24"/>
    <n v="4"/>
    <s v="Empresa D"/>
    <x v="1"/>
    <x v="1"/>
    <x v="0"/>
    <x v="9"/>
    <x v="3"/>
    <m/>
    <x v="20"/>
    <s v="Pasta"/>
    <x v="19"/>
    <n v="96"/>
    <n v="51072"/>
    <n v="4851.84"/>
  </r>
  <r>
    <n v="1051"/>
    <x v="14"/>
    <n v="3"/>
    <s v="Empresa C"/>
    <x v="4"/>
    <x v="0"/>
    <x v="1"/>
    <x v="9"/>
    <x v="3"/>
    <m/>
    <x v="10"/>
    <s v="Bebidas"/>
    <x v="10"/>
    <n v="75"/>
    <n v="3139.5"/>
    <n v="323.36850000000004"/>
  </r>
  <r>
    <n v="1052"/>
    <x v="25"/>
    <n v="9"/>
    <s v="Empresa I"/>
    <x v="11"/>
    <x v="7"/>
    <x v="2"/>
    <x v="20"/>
    <x v="1"/>
    <s v="Cheque"/>
    <x v="14"/>
    <s v="Pasta"/>
    <x v="14"/>
    <n v="55"/>
    <n v="15015"/>
    <n v="1516.5150000000001"/>
  </r>
  <r>
    <n v="1053"/>
    <x v="25"/>
    <n v="9"/>
    <s v="Empresa I"/>
    <x v="11"/>
    <x v="7"/>
    <x v="3"/>
    <x v="20"/>
    <x v="1"/>
    <s v="Cheque"/>
    <x v="15"/>
    <s v="Productos lácteos"/>
    <x v="15"/>
    <n v="11"/>
    <n v="5359.1999999999989"/>
    <n v="514.4831999999999"/>
  </r>
  <r>
    <n v="1054"/>
    <x v="26"/>
    <n v="6"/>
    <s v="Empresa F"/>
    <x v="5"/>
    <x v="4"/>
    <x v="0"/>
    <x v="21"/>
    <x v="0"/>
    <s v="Tarjeta de crédito"/>
    <x v="0"/>
    <s v="Bebidas"/>
    <x v="0"/>
    <n v="53"/>
    <n v="10388"/>
    <n v="1007.6360000000001"/>
  </r>
  <r>
    <n v="1055"/>
    <x v="27"/>
    <n v="8"/>
    <s v="Empresa H"/>
    <x v="2"/>
    <x v="2"/>
    <x v="1"/>
    <x v="22"/>
    <x v="0"/>
    <s v="Cheque"/>
    <x v="9"/>
    <s v="Salsas"/>
    <x v="9"/>
    <n v="85"/>
    <n v="47600"/>
    <n v="4998"/>
  </r>
  <r>
    <n v="1056"/>
    <x v="27"/>
    <n v="8"/>
    <s v="Empresa H"/>
    <x v="2"/>
    <x v="2"/>
    <x v="2"/>
    <x v="22"/>
    <x v="0"/>
    <s v="Cheque"/>
    <x v="6"/>
    <s v="Productos horneados"/>
    <x v="6"/>
    <n v="97"/>
    <n v="12493.599999999999"/>
    <n v="1274.3472000000002"/>
  </r>
  <r>
    <n v="1057"/>
    <x v="28"/>
    <n v="25"/>
    <s v="Empresa Y"/>
    <x v="7"/>
    <x v="6"/>
    <x v="3"/>
    <x v="23"/>
    <x v="1"/>
    <s v="Efectivo"/>
    <x v="21"/>
    <s v="Productos horneados"/>
    <x v="16"/>
    <n v="46"/>
    <n v="6440"/>
    <n v="650.44000000000005"/>
  </r>
  <r>
    <n v="1058"/>
    <x v="29"/>
    <n v="26"/>
    <s v="Empresa Z"/>
    <x v="9"/>
    <x v="5"/>
    <x v="0"/>
    <x v="24"/>
    <x v="2"/>
    <s v="Tarjeta de crédito"/>
    <x v="22"/>
    <s v="Aceite"/>
    <x v="20"/>
    <n v="97"/>
    <n v="28993.300000000003"/>
    <n v="2754.3634999999999"/>
  </r>
  <r>
    <n v="1059"/>
    <x v="29"/>
    <n v="26"/>
    <s v="Empresa Z"/>
    <x v="9"/>
    <x v="5"/>
    <x v="1"/>
    <x v="24"/>
    <x v="2"/>
    <s v="Tarjeta de crédito"/>
    <x v="8"/>
    <s v="Sopas"/>
    <x v="8"/>
    <n v="97"/>
    <n v="13104.699999999999"/>
    <n v="1336.6794000000002"/>
  </r>
  <r>
    <n v="1060"/>
    <x v="29"/>
    <n v="26"/>
    <s v="Empresa Z"/>
    <x v="9"/>
    <x v="5"/>
    <x v="2"/>
    <x v="24"/>
    <x v="2"/>
    <s v="Tarjeta de crédito"/>
    <x v="13"/>
    <s v="Carne "/>
    <x v="13"/>
    <n v="65"/>
    <n v="16743.999999999996"/>
    <n v="1724.6320000000003"/>
  </r>
  <r>
    <n v="1061"/>
    <x v="30"/>
    <n v="29"/>
    <s v="Empresa CC"/>
    <x v="3"/>
    <x v="3"/>
    <x v="3"/>
    <x v="25"/>
    <x v="0"/>
    <s v="Cheque"/>
    <x v="0"/>
    <s v="Bebidas"/>
    <x v="0"/>
    <n v="72"/>
    <n v="14112"/>
    <n v="1411.2000000000003"/>
  </r>
  <r>
    <n v="1062"/>
    <x v="26"/>
    <n v="6"/>
    <s v="Empresa F"/>
    <x v="5"/>
    <x v="4"/>
    <x v="0"/>
    <x v="21"/>
    <x v="2"/>
    <s v="Cheque"/>
    <x v="7"/>
    <s v="Dulces"/>
    <x v="7"/>
    <n v="16"/>
    <n v="2856"/>
    <n v="282.74400000000003"/>
  </r>
  <r>
    <n v="1064"/>
    <x v="31"/>
    <n v="4"/>
    <s v="Empresa D"/>
    <x v="1"/>
    <x v="1"/>
    <x v="1"/>
    <x v="26"/>
    <x v="1"/>
    <s v="Tarjeta de crédito"/>
    <x v="23"/>
    <s v="Mermeladas y jaleas"/>
    <x v="21"/>
    <n v="77"/>
    <n v="87318"/>
    <n v="8993.7540000000008"/>
  </r>
  <r>
    <n v="1065"/>
    <x v="31"/>
    <n v="4"/>
    <s v="Empresa D"/>
    <x v="1"/>
    <x v="1"/>
    <x v="2"/>
    <x v="26"/>
    <x v="1"/>
    <s v="Tarjeta de crédito"/>
    <x v="24"/>
    <s v="Grano"/>
    <x v="22"/>
    <n v="37"/>
    <n v="3626"/>
    <n v="344.47"/>
  </r>
  <r>
    <n v="1067"/>
    <x v="27"/>
    <n v="8"/>
    <s v="Empresa H"/>
    <x v="2"/>
    <x v="2"/>
    <x v="3"/>
    <x v="22"/>
    <x v="2"/>
    <s v="Tarjeta de crédito"/>
    <x v="15"/>
    <s v="Productos lácteos"/>
    <x v="15"/>
    <n v="63"/>
    <n v="30693.599999999995"/>
    <n v="3038.6664000000001"/>
  </r>
  <r>
    <n v="1070"/>
    <x v="32"/>
    <n v="3"/>
    <s v="Empresa C"/>
    <x v="4"/>
    <x v="0"/>
    <x v="0"/>
    <x v="27"/>
    <x v="0"/>
    <s v="Efectivo"/>
    <x v="16"/>
    <s v="Condimentos"/>
    <x v="16"/>
    <n v="48"/>
    <n v="6720"/>
    <n v="672"/>
  </r>
  <r>
    <n v="1071"/>
    <x v="32"/>
    <n v="3"/>
    <s v="Empresa C"/>
    <x v="4"/>
    <x v="0"/>
    <x v="1"/>
    <x v="27"/>
    <x v="0"/>
    <s v="Efectivo"/>
    <x v="9"/>
    <s v="Salsas"/>
    <x v="9"/>
    <n v="71"/>
    <n v="39760"/>
    <n v="4135.04"/>
  </r>
  <r>
    <n v="1075"/>
    <x v="33"/>
    <n v="10"/>
    <s v="Empresa J"/>
    <x v="7"/>
    <x v="6"/>
    <x v="2"/>
    <x v="28"/>
    <x v="0"/>
    <s v="Tarjeta de crédito"/>
    <x v="18"/>
    <s v="Frutas secas"/>
    <x v="16"/>
    <n v="55"/>
    <n v="7700"/>
    <n v="770"/>
  </r>
  <r>
    <n v="1077"/>
    <x v="33"/>
    <n v="10"/>
    <s v="Empresa J"/>
    <x v="7"/>
    <x v="6"/>
    <x v="3"/>
    <x v="9"/>
    <x v="1"/>
    <m/>
    <x v="1"/>
    <s v="Frutas secas"/>
    <x v="1"/>
    <n v="21"/>
    <n v="1029"/>
    <n v="102.9"/>
  </r>
  <r>
    <n v="1078"/>
    <x v="34"/>
    <n v="11"/>
    <s v="Empresa K"/>
    <x v="9"/>
    <x v="5"/>
    <x v="0"/>
    <x v="9"/>
    <x v="2"/>
    <m/>
    <x v="9"/>
    <s v="Salsas"/>
    <x v="9"/>
    <n v="67"/>
    <n v="37520"/>
    <n v="3789.52"/>
  </r>
  <r>
    <n v="1079"/>
    <x v="23"/>
    <n v="1"/>
    <s v="Empresa A"/>
    <x v="10"/>
    <x v="2"/>
    <x v="1"/>
    <x v="9"/>
    <x v="2"/>
    <m/>
    <x v="13"/>
    <s v="Carne "/>
    <x v="13"/>
    <n v="75"/>
    <n v="19319.999999999996"/>
    <n v="1932"/>
  </r>
  <r>
    <n v="1080"/>
    <x v="35"/>
    <n v="28"/>
    <s v="Empresa BB"/>
    <x v="6"/>
    <x v="5"/>
    <x v="2"/>
    <x v="29"/>
    <x v="2"/>
    <s v="Tarjeta de crédito"/>
    <x v="5"/>
    <s v="Bebidas"/>
    <x v="5"/>
    <n v="17"/>
    <n v="10948"/>
    <n v="1127.644"/>
  </r>
  <r>
    <n v="1081"/>
    <x v="36"/>
    <n v="4"/>
    <s v="Empresa D"/>
    <x v="1"/>
    <x v="1"/>
    <x v="3"/>
    <x v="30"/>
    <x v="1"/>
    <s v="Tarjeta de crédito"/>
    <x v="1"/>
    <s v="Frutas secas"/>
    <x v="1"/>
    <n v="48"/>
    <n v="2352"/>
    <n v="228.14400000000001"/>
  </r>
  <r>
    <n v="1082"/>
    <x v="37"/>
    <n v="12"/>
    <s v="Empresa L"/>
    <x v="0"/>
    <x v="0"/>
    <x v="0"/>
    <x v="31"/>
    <x v="0"/>
    <s v="Tarjeta de crédito"/>
    <x v="4"/>
    <s v="Bebidas"/>
    <x v="4"/>
    <n v="74"/>
    <n v="18648"/>
    <n v="1920.7440000000004"/>
  </r>
  <r>
    <n v="1083"/>
    <x v="37"/>
    <n v="12"/>
    <s v="Empresa L"/>
    <x v="0"/>
    <x v="0"/>
    <x v="1"/>
    <x v="31"/>
    <x v="0"/>
    <s v="Tarjeta de crédito"/>
    <x v="5"/>
    <s v="Bebidas"/>
    <x v="5"/>
    <n v="96"/>
    <n v="61824"/>
    <n v="5996.9280000000008"/>
  </r>
  <r>
    <n v="1084"/>
    <x v="38"/>
    <n v="8"/>
    <s v="Empresa H"/>
    <x v="2"/>
    <x v="2"/>
    <x v="2"/>
    <x v="32"/>
    <x v="2"/>
    <s v="Tarjeta de crédito"/>
    <x v="6"/>
    <s v="Productos horneados"/>
    <x v="6"/>
    <n v="12"/>
    <n v="1545.6"/>
    <n v="159.1968"/>
  </r>
  <r>
    <n v="1085"/>
    <x v="36"/>
    <n v="4"/>
    <s v="Empresa D"/>
    <x v="1"/>
    <x v="1"/>
    <x v="3"/>
    <x v="30"/>
    <x v="2"/>
    <s v="Cheque"/>
    <x v="6"/>
    <s v="Productos horneados"/>
    <x v="6"/>
    <n v="62"/>
    <n v="7985.5999999999985"/>
    <n v="822.51679999999999"/>
  </r>
  <r>
    <n v="1086"/>
    <x v="39"/>
    <n v="29"/>
    <s v="Empresa CC"/>
    <x v="3"/>
    <x v="3"/>
    <x v="0"/>
    <x v="33"/>
    <x v="0"/>
    <s v="Cheque"/>
    <x v="7"/>
    <s v="Dulces"/>
    <x v="7"/>
    <n v="35"/>
    <n v="6247.5"/>
    <n v="643.49250000000006"/>
  </r>
  <r>
    <n v="1087"/>
    <x v="40"/>
    <n v="3"/>
    <s v="Empresa C"/>
    <x v="4"/>
    <x v="0"/>
    <x v="1"/>
    <x v="34"/>
    <x v="0"/>
    <s v="Efectivo"/>
    <x v="8"/>
    <s v="Sopas"/>
    <x v="8"/>
    <n v="95"/>
    <n v="12834.5"/>
    <n v="1283.4500000000003"/>
  </r>
  <r>
    <n v="1088"/>
    <x v="41"/>
    <n v="6"/>
    <s v="Empresa F"/>
    <x v="5"/>
    <x v="4"/>
    <x v="2"/>
    <x v="35"/>
    <x v="0"/>
    <s v="Tarjeta de crédito"/>
    <x v="9"/>
    <s v="Salsas"/>
    <x v="9"/>
    <n v="17"/>
    <n v="9520"/>
    <n v="961.5200000000001"/>
  </r>
  <r>
    <n v="1089"/>
    <x v="42"/>
    <n v="28"/>
    <s v="Empresa BB"/>
    <x v="6"/>
    <x v="5"/>
    <x v="3"/>
    <x v="36"/>
    <x v="2"/>
    <s v="Cheque"/>
    <x v="5"/>
    <s v="Bebidas"/>
    <x v="5"/>
    <n v="96"/>
    <n v="61824"/>
    <n v="6491.52"/>
  </r>
  <r>
    <n v="1090"/>
    <x v="38"/>
    <n v="8"/>
    <s v="Empresa H"/>
    <x v="2"/>
    <x v="2"/>
    <x v="0"/>
    <x v="32"/>
    <x v="2"/>
    <s v="Cheque"/>
    <x v="7"/>
    <s v="Dulces"/>
    <x v="7"/>
    <n v="83"/>
    <n v="14815.5"/>
    <n v="1437.1034999999999"/>
  </r>
  <r>
    <n v="1091"/>
    <x v="43"/>
    <n v="10"/>
    <s v="Empresa J"/>
    <x v="7"/>
    <x v="6"/>
    <x v="1"/>
    <x v="37"/>
    <x v="0"/>
    <s v="Tarjeta de crédito"/>
    <x v="10"/>
    <s v="Bebidas"/>
    <x v="10"/>
    <n v="88"/>
    <n v="3683.68"/>
    <n v="364.68432000000001"/>
  </r>
  <r>
    <n v="1092"/>
    <x v="44"/>
    <n v="7"/>
    <s v="Empresa G"/>
    <x v="8"/>
    <x v="2"/>
    <x v="2"/>
    <x v="9"/>
    <x v="3"/>
    <m/>
    <x v="5"/>
    <s v="Bebidas"/>
    <x v="5"/>
    <n v="59"/>
    <n v="37996"/>
    <n v="3989.5800000000004"/>
  </r>
  <r>
    <n v="1093"/>
    <x v="43"/>
    <n v="10"/>
    <s v="Empresa J"/>
    <x v="7"/>
    <x v="6"/>
    <x v="3"/>
    <x v="37"/>
    <x v="1"/>
    <m/>
    <x v="11"/>
    <s v="Mermeladas y jaleas"/>
    <x v="11"/>
    <n v="27"/>
    <n v="9450"/>
    <n v="963.89999999999986"/>
  </r>
  <r>
    <n v="1094"/>
    <x v="43"/>
    <n v="10"/>
    <s v="Empresa J"/>
    <x v="7"/>
    <x v="6"/>
    <x v="0"/>
    <x v="37"/>
    <x v="1"/>
    <m/>
    <x v="12"/>
    <s v="Condimentos"/>
    <x v="12"/>
    <n v="37"/>
    <n v="11396"/>
    <n v="1196.5800000000002"/>
  </r>
  <r>
    <n v="1095"/>
    <x v="43"/>
    <n v="10"/>
    <s v="Empresa J"/>
    <x v="7"/>
    <x v="6"/>
    <x v="1"/>
    <x v="37"/>
    <x v="1"/>
    <m/>
    <x v="6"/>
    <s v="Productos horneados"/>
    <x v="6"/>
    <n v="75"/>
    <n v="9659.9999999999982"/>
    <n v="966"/>
  </r>
  <r>
    <n v="1096"/>
    <x v="45"/>
    <n v="11"/>
    <s v="Empresa K"/>
    <x v="9"/>
    <x v="5"/>
    <x v="2"/>
    <x v="9"/>
    <x v="2"/>
    <m/>
    <x v="1"/>
    <s v="Frutas secas"/>
    <x v="1"/>
    <n v="71"/>
    <n v="3479"/>
    <n v="337.46300000000002"/>
  </r>
  <r>
    <n v="1097"/>
    <x v="45"/>
    <n v="11"/>
    <s v="Empresa K"/>
    <x v="9"/>
    <x v="5"/>
    <x v="3"/>
    <x v="9"/>
    <x v="2"/>
    <m/>
    <x v="10"/>
    <s v="Bebidas"/>
    <x v="10"/>
    <n v="88"/>
    <n v="3683.68"/>
    <n v="364.68432000000001"/>
  </r>
  <r>
    <n v="1098"/>
    <x v="46"/>
    <n v="1"/>
    <s v="Empresa A"/>
    <x v="10"/>
    <x v="2"/>
    <x v="0"/>
    <x v="9"/>
    <x v="3"/>
    <m/>
    <x v="4"/>
    <s v="Bebidas"/>
    <x v="4"/>
    <n v="55"/>
    <n v="13860"/>
    <n v="1358.28"/>
  </r>
  <r>
    <n v="1099"/>
    <x v="47"/>
    <n v="29"/>
    <s v="Empresa CC"/>
    <x v="3"/>
    <x v="3"/>
    <x v="1"/>
    <x v="38"/>
    <x v="0"/>
    <s v="Cheque"/>
    <x v="7"/>
    <s v="Dulces"/>
    <x v="7"/>
    <n v="14"/>
    <n v="2499"/>
    <n v="237.405"/>
  </r>
  <r>
    <n v="1100"/>
    <x v="48"/>
    <n v="3"/>
    <s v="Empresa C"/>
    <x v="4"/>
    <x v="0"/>
    <x v="2"/>
    <x v="39"/>
    <x v="0"/>
    <s v="Efectivo"/>
    <x v="8"/>
    <s v="Sopas"/>
    <x v="8"/>
    <n v="43"/>
    <n v="5809.3"/>
    <n v="592.54860000000008"/>
  </r>
  <r>
    <n v="1101"/>
    <x v="49"/>
    <n v="6"/>
    <s v="Empresa F"/>
    <x v="5"/>
    <x v="4"/>
    <x v="3"/>
    <x v="40"/>
    <x v="0"/>
    <s v="Tarjeta de crédito"/>
    <x v="9"/>
    <s v="Salsas"/>
    <x v="9"/>
    <n v="63"/>
    <n v="35280"/>
    <n v="3563.28"/>
  </r>
  <r>
    <n v="1102"/>
    <x v="50"/>
    <n v="28"/>
    <s v="Empresa BB"/>
    <x v="6"/>
    <x v="5"/>
    <x v="0"/>
    <x v="41"/>
    <x v="2"/>
    <s v="Cheque"/>
    <x v="5"/>
    <s v="Bebidas"/>
    <x v="5"/>
    <n v="36"/>
    <n v="23184"/>
    <n v="2318.4000000000005"/>
  </r>
  <r>
    <n v="1103"/>
    <x v="51"/>
    <n v="8"/>
    <s v="Empresa H"/>
    <x v="2"/>
    <x v="2"/>
    <x v="1"/>
    <x v="42"/>
    <x v="2"/>
    <s v="Cheque"/>
    <x v="7"/>
    <s v="Dulces"/>
    <x v="7"/>
    <n v="41"/>
    <n v="7318.5"/>
    <n v="761.12400000000014"/>
  </r>
  <r>
    <n v="1104"/>
    <x v="52"/>
    <n v="10"/>
    <s v="Empresa J"/>
    <x v="7"/>
    <x v="6"/>
    <x v="2"/>
    <x v="43"/>
    <x v="0"/>
    <s v="Tarjeta de crédito"/>
    <x v="10"/>
    <s v="Bebidas"/>
    <x v="10"/>
    <n v="35"/>
    <n v="1465.1"/>
    <n v="143.57980000000001"/>
  </r>
  <r>
    <n v="1105"/>
    <x v="53"/>
    <n v="7"/>
    <s v="Empresa G"/>
    <x v="8"/>
    <x v="2"/>
    <x v="3"/>
    <x v="9"/>
    <x v="3"/>
    <m/>
    <x v="5"/>
    <s v="Bebidas"/>
    <x v="5"/>
    <n v="31"/>
    <n v="19964"/>
    <n v="1916.5439999999999"/>
  </r>
  <r>
    <n v="1106"/>
    <x v="52"/>
    <n v="10"/>
    <s v="Empresa J"/>
    <x v="7"/>
    <x v="6"/>
    <x v="0"/>
    <x v="43"/>
    <x v="1"/>
    <m/>
    <x v="11"/>
    <s v="Mermeladas y jaleas"/>
    <x v="11"/>
    <n v="52"/>
    <n v="18200"/>
    <n v="1729"/>
  </r>
  <r>
    <n v="1107"/>
    <x v="52"/>
    <n v="10"/>
    <s v="Empresa J"/>
    <x v="7"/>
    <x v="6"/>
    <x v="1"/>
    <x v="43"/>
    <x v="1"/>
    <m/>
    <x v="12"/>
    <s v="Condimentos"/>
    <x v="12"/>
    <n v="30"/>
    <n v="9240"/>
    <n v="942.48000000000013"/>
  </r>
  <r>
    <n v="1108"/>
    <x v="52"/>
    <n v="10"/>
    <s v="Empresa J"/>
    <x v="7"/>
    <x v="6"/>
    <x v="2"/>
    <x v="43"/>
    <x v="1"/>
    <m/>
    <x v="6"/>
    <s v="Productos horneados"/>
    <x v="6"/>
    <n v="41"/>
    <n v="5280.7999999999993"/>
    <n v="538.64160000000004"/>
  </r>
  <r>
    <n v="1109"/>
    <x v="54"/>
    <n v="11"/>
    <s v="Empresa K"/>
    <x v="9"/>
    <x v="5"/>
    <x v="3"/>
    <x v="9"/>
    <x v="2"/>
    <m/>
    <x v="1"/>
    <s v="Frutas secas"/>
    <x v="1"/>
    <n v="44"/>
    <n v="2156"/>
    <n v="213.44400000000002"/>
  </r>
  <r>
    <n v="1110"/>
    <x v="54"/>
    <n v="11"/>
    <s v="Empresa K"/>
    <x v="9"/>
    <x v="5"/>
    <x v="0"/>
    <x v="9"/>
    <x v="2"/>
    <m/>
    <x v="10"/>
    <s v="Bebidas"/>
    <x v="10"/>
    <n v="77"/>
    <n v="3223.22"/>
    <n v="322.32200000000006"/>
  </r>
  <r>
    <n v="1111"/>
    <x v="55"/>
    <n v="1"/>
    <s v="Empresa A"/>
    <x v="10"/>
    <x v="2"/>
    <x v="1"/>
    <x v="9"/>
    <x v="3"/>
    <m/>
    <x v="4"/>
    <s v="Bebidas"/>
    <x v="4"/>
    <n v="29"/>
    <n v="7308"/>
    <n v="738.10800000000006"/>
  </r>
  <r>
    <n v="1112"/>
    <x v="55"/>
    <n v="1"/>
    <s v="Empresa A"/>
    <x v="10"/>
    <x v="2"/>
    <x v="2"/>
    <x v="9"/>
    <x v="3"/>
    <m/>
    <x v="5"/>
    <s v="Bebidas"/>
    <x v="5"/>
    <n v="77"/>
    <n v="49588"/>
    <n v="5157.152000000001"/>
  </r>
  <r>
    <n v="1113"/>
    <x v="55"/>
    <n v="1"/>
    <s v="Empresa A"/>
    <x v="10"/>
    <x v="2"/>
    <x v="3"/>
    <x v="9"/>
    <x v="3"/>
    <m/>
    <x v="10"/>
    <s v="Bebidas"/>
    <x v="10"/>
    <n v="73"/>
    <n v="3055.7799999999997"/>
    <n v="305.57800000000003"/>
  </r>
  <r>
    <n v="1114"/>
    <x v="50"/>
    <n v="28"/>
    <s v="Empresa BB"/>
    <x v="6"/>
    <x v="5"/>
    <x v="0"/>
    <x v="41"/>
    <x v="2"/>
    <s v="Tarjeta de crédito"/>
    <x v="8"/>
    <s v="Sopas"/>
    <x v="8"/>
    <n v="74"/>
    <n v="9997.4"/>
    <n v="949.75300000000004"/>
  </r>
  <r>
    <n v="1115"/>
    <x v="50"/>
    <n v="28"/>
    <s v="Empresa BB"/>
    <x v="6"/>
    <x v="5"/>
    <x v="1"/>
    <x v="41"/>
    <x v="2"/>
    <s v="Tarjeta de crédito"/>
    <x v="13"/>
    <s v="Carne "/>
    <x v="13"/>
    <n v="25"/>
    <n v="6439.9999999999991"/>
    <n v="650.44000000000005"/>
  </r>
  <r>
    <n v="1116"/>
    <x v="56"/>
    <n v="9"/>
    <s v="Empresa I"/>
    <x v="11"/>
    <x v="7"/>
    <x v="2"/>
    <x v="44"/>
    <x v="1"/>
    <s v="Cheque"/>
    <x v="14"/>
    <s v="Pasta"/>
    <x v="14"/>
    <n v="82"/>
    <n v="22386"/>
    <n v="2149.056"/>
  </r>
  <r>
    <n v="1117"/>
    <x v="56"/>
    <n v="9"/>
    <s v="Empresa I"/>
    <x v="11"/>
    <x v="7"/>
    <x v="3"/>
    <x v="44"/>
    <x v="1"/>
    <s v="Cheque"/>
    <x v="15"/>
    <s v="Productos lácteos"/>
    <x v="15"/>
    <n v="37"/>
    <n v="18026.399999999998"/>
    <n v="1856.7191999999998"/>
  </r>
  <r>
    <n v="1118"/>
    <x v="49"/>
    <n v="6"/>
    <s v="Empresa F"/>
    <x v="5"/>
    <x v="4"/>
    <x v="0"/>
    <x v="40"/>
    <x v="0"/>
    <s v="Tarjeta de crédito"/>
    <x v="0"/>
    <s v="Bebidas"/>
    <x v="0"/>
    <n v="84"/>
    <n v="16464"/>
    <n v="1580.5440000000001"/>
  </r>
  <r>
    <n v="1119"/>
    <x v="51"/>
    <n v="8"/>
    <s v="Empresa H"/>
    <x v="2"/>
    <x v="2"/>
    <x v="1"/>
    <x v="42"/>
    <x v="0"/>
    <s v="Cheque"/>
    <x v="9"/>
    <s v="Salsas"/>
    <x v="9"/>
    <n v="73"/>
    <n v="40880"/>
    <n v="3965.36"/>
  </r>
  <r>
    <n v="1120"/>
    <x v="51"/>
    <n v="8"/>
    <s v="Empresa H"/>
    <x v="2"/>
    <x v="2"/>
    <x v="2"/>
    <x v="42"/>
    <x v="0"/>
    <s v="Cheque"/>
    <x v="6"/>
    <s v="Productos horneados"/>
    <x v="6"/>
    <n v="51"/>
    <n v="6568.7999999999993"/>
    <n v="624.03599999999994"/>
  </r>
  <r>
    <n v="1121"/>
    <x v="57"/>
    <n v="25"/>
    <s v="Empresa Y"/>
    <x v="7"/>
    <x v="6"/>
    <x v="3"/>
    <x v="45"/>
    <x v="1"/>
    <s v="Efectivo"/>
    <x v="21"/>
    <s v="Productos horneados"/>
    <x v="16"/>
    <n v="66"/>
    <n v="9240"/>
    <n v="960.96"/>
  </r>
  <r>
    <n v="1122"/>
    <x v="58"/>
    <n v="26"/>
    <s v="Empresa Z"/>
    <x v="9"/>
    <x v="5"/>
    <x v="0"/>
    <x v="46"/>
    <x v="2"/>
    <s v="Tarjeta de crédito"/>
    <x v="22"/>
    <s v="Aceite"/>
    <x v="20"/>
    <n v="36"/>
    <n v="10760.400000000001"/>
    <n v="1043.7588000000001"/>
  </r>
  <r>
    <n v="1123"/>
    <x v="58"/>
    <n v="26"/>
    <s v="Empresa Z"/>
    <x v="9"/>
    <x v="5"/>
    <x v="1"/>
    <x v="46"/>
    <x v="2"/>
    <s v="Tarjeta de crédito"/>
    <x v="8"/>
    <s v="Sopas"/>
    <x v="8"/>
    <n v="87"/>
    <n v="11753.699999999999"/>
    <n v="1222.3848"/>
  </r>
  <r>
    <n v="1124"/>
    <x v="58"/>
    <n v="26"/>
    <s v="Empresa Z"/>
    <x v="9"/>
    <x v="5"/>
    <x v="2"/>
    <x v="46"/>
    <x v="2"/>
    <s v="Tarjeta de crédito"/>
    <x v="13"/>
    <s v="Carne "/>
    <x v="13"/>
    <n v="64"/>
    <n v="16486.399999999998"/>
    <n v="1615.6671999999999"/>
  </r>
  <r>
    <n v="1125"/>
    <x v="47"/>
    <n v="29"/>
    <s v="Empresa CC"/>
    <x v="3"/>
    <x v="3"/>
    <x v="3"/>
    <x v="38"/>
    <x v="0"/>
    <s v="Cheque"/>
    <x v="0"/>
    <s v="Bebidas"/>
    <x v="0"/>
    <n v="21"/>
    <n v="4116"/>
    <n v="432.18000000000006"/>
  </r>
  <r>
    <n v="1126"/>
    <x v="49"/>
    <n v="6"/>
    <s v="Empresa F"/>
    <x v="5"/>
    <x v="4"/>
    <x v="0"/>
    <x v="40"/>
    <x v="2"/>
    <s v="Cheque"/>
    <x v="7"/>
    <s v="Dulces"/>
    <x v="7"/>
    <n v="19"/>
    <n v="3391.5"/>
    <n v="342.54149999999998"/>
  </r>
  <r>
    <n v="1128"/>
    <x v="59"/>
    <n v="4"/>
    <s v="Empresa D"/>
    <x v="1"/>
    <x v="1"/>
    <x v="1"/>
    <x v="47"/>
    <x v="1"/>
    <s v="Tarjeta de crédito"/>
    <x v="23"/>
    <s v="Mermeladas y jaleas"/>
    <x v="21"/>
    <n v="23"/>
    <n v="26082"/>
    <n v="2738.61"/>
  </r>
  <r>
    <n v="1129"/>
    <x v="59"/>
    <n v="4"/>
    <s v="Empresa D"/>
    <x v="1"/>
    <x v="1"/>
    <x v="2"/>
    <x v="47"/>
    <x v="1"/>
    <s v="Tarjeta de crédito"/>
    <x v="24"/>
    <s v="Grano"/>
    <x v="22"/>
    <n v="72"/>
    <n v="7056"/>
    <n v="726.76800000000003"/>
  </r>
  <r>
    <n v="1131"/>
    <x v="51"/>
    <n v="8"/>
    <s v="Empresa H"/>
    <x v="2"/>
    <x v="2"/>
    <x v="3"/>
    <x v="42"/>
    <x v="2"/>
    <s v="Tarjeta de crédito"/>
    <x v="15"/>
    <s v="Productos lácteos"/>
    <x v="15"/>
    <n v="22"/>
    <n v="10718.399999999998"/>
    <n v="1050.4031999999997"/>
  </r>
  <r>
    <n v="1134"/>
    <x v="48"/>
    <n v="3"/>
    <s v="Empresa C"/>
    <x v="4"/>
    <x v="0"/>
    <x v="0"/>
    <x v="39"/>
    <x v="0"/>
    <s v="Efectivo"/>
    <x v="16"/>
    <s v="Condimentos"/>
    <x v="16"/>
    <n v="82"/>
    <n v="11480"/>
    <n v="1193.92"/>
  </r>
  <r>
    <n v="1135"/>
    <x v="48"/>
    <n v="3"/>
    <s v="Empresa C"/>
    <x v="4"/>
    <x v="0"/>
    <x v="1"/>
    <x v="39"/>
    <x v="0"/>
    <s v="Efectivo"/>
    <x v="9"/>
    <s v="Salsas"/>
    <x v="9"/>
    <n v="98"/>
    <n v="54880"/>
    <n v="5762.4000000000005"/>
  </r>
  <r>
    <n v="1138"/>
    <x v="60"/>
    <n v="7"/>
    <s v="Empresa G"/>
    <x v="8"/>
    <x v="2"/>
    <x v="2"/>
    <x v="9"/>
    <x v="3"/>
    <m/>
    <x v="5"/>
    <s v="Bebidas"/>
    <x v="5"/>
    <n v="71"/>
    <n v="45724"/>
    <n v="4343.78"/>
  </r>
  <r>
    <n v="1139"/>
    <x v="61"/>
    <n v="10"/>
    <s v="Empresa J"/>
    <x v="7"/>
    <x v="6"/>
    <x v="3"/>
    <x v="48"/>
    <x v="1"/>
    <m/>
    <x v="11"/>
    <s v="Mermeladas y jaleas"/>
    <x v="11"/>
    <n v="40"/>
    <n v="14000"/>
    <n v="1470"/>
  </r>
  <r>
    <n v="1140"/>
    <x v="61"/>
    <n v="10"/>
    <s v="Empresa J"/>
    <x v="7"/>
    <x v="6"/>
    <x v="0"/>
    <x v="48"/>
    <x v="1"/>
    <m/>
    <x v="12"/>
    <s v="Condimentos"/>
    <x v="12"/>
    <n v="80"/>
    <n v="24640"/>
    <n v="2414.7199999999998"/>
  </r>
  <r>
    <n v="1141"/>
    <x v="61"/>
    <n v="10"/>
    <s v="Empresa J"/>
    <x v="7"/>
    <x v="6"/>
    <x v="1"/>
    <x v="48"/>
    <x v="1"/>
    <m/>
    <x v="6"/>
    <s v="Productos horneados"/>
    <x v="6"/>
    <n v="38"/>
    <n v="4894.3999999999996"/>
    <n v="464.96799999999996"/>
  </r>
  <r>
    <n v="1142"/>
    <x v="62"/>
    <n v="11"/>
    <s v="Empresa K"/>
    <x v="9"/>
    <x v="5"/>
    <x v="2"/>
    <x v="9"/>
    <x v="2"/>
    <m/>
    <x v="1"/>
    <s v="Frutas secas"/>
    <x v="1"/>
    <n v="28"/>
    <n v="1372"/>
    <n v="144.06"/>
  </r>
  <r>
    <n v="1143"/>
    <x v="62"/>
    <n v="11"/>
    <s v="Empresa K"/>
    <x v="9"/>
    <x v="5"/>
    <x v="3"/>
    <x v="9"/>
    <x v="2"/>
    <m/>
    <x v="10"/>
    <s v="Bebidas"/>
    <x v="10"/>
    <n v="60"/>
    <n v="2511.6"/>
    <n v="246.13680000000005"/>
  </r>
  <r>
    <n v="1144"/>
    <x v="63"/>
    <n v="1"/>
    <s v="Empresa A"/>
    <x v="10"/>
    <x v="2"/>
    <x v="0"/>
    <x v="9"/>
    <x v="3"/>
    <m/>
    <x v="4"/>
    <s v="Bebidas"/>
    <x v="4"/>
    <n v="33"/>
    <n v="8316"/>
    <n v="814.96800000000007"/>
  </r>
  <r>
    <n v="1145"/>
    <x v="63"/>
    <n v="1"/>
    <s v="Empresa A"/>
    <x v="10"/>
    <x v="2"/>
    <x v="1"/>
    <x v="9"/>
    <x v="3"/>
    <m/>
    <x v="5"/>
    <s v="Bebidas"/>
    <x v="5"/>
    <n v="22"/>
    <n v="14168"/>
    <n v="1416.8"/>
  </r>
  <r>
    <n v="1146"/>
    <x v="63"/>
    <n v="1"/>
    <s v="Empresa A"/>
    <x v="10"/>
    <x v="2"/>
    <x v="2"/>
    <x v="9"/>
    <x v="3"/>
    <m/>
    <x v="10"/>
    <s v="Bebidas"/>
    <x v="10"/>
    <n v="51"/>
    <n v="2134.86"/>
    <n v="209.21628000000004"/>
  </r>
  <r>
    <n v="1147"/>
    <x v="64"/>
    <n v="28"/>
    <s v="Empresa BB"/>
    <x v="6"/>
    <x v="5"/>
    <x v="3"/>
    <x v="49"/>
    <x v="2"/>
    <s v="Tarjeta de crédito"/>
    <x v="8"/>
    <s v="Sopas"/>
    <x v="8"/>
    <n v="60"/>
    <n v="8106"/>
    <n v="802.49400000000003"/>
  </r>
  <r>
    <n v="1148"/>
    <x v="64"/>
    <n v="28"/>
    <s v="Empresa BB"/>
    <x v="6"/>
    <x v="5"/>
    <x v="0"/>
    <x v="49"/>
    <x v="2"/>
    <s v="Tarjeta de crédito"/>
    <x v="13"/>
    <s v="Carne "/>
    <x v="13"/>
    <n v="98"/>
    <n v="25244.799999999996"/>
    <n v="2574.9695999999999"/>
  </r>
  <r>
    <n v="1149"/>
    <x v="65"/>
    <n v="9"/>
    <s v="Empresa I"/>
    <x v="11"/>
    <x v="7"/>
    <x v="1"/>
    <x v="50"/>
    <x v="1"/>
    <s v="Cheque"/>
    <x v="14"/>
    <s v="Pasta"/>
    <x v="14"/>
    <n v="27"/>
    <n v="7371"/>
    <n v="714.98700000000008"/>
  </r>
  <r>
    <n v="1150"/>
    <x v="65"/>
    <n v="9"/>
    <s v="Empresa I"/>
    <x v="11"/>
    <x v="7"/>
    <x v="2"/>
    <x v="50"/>
    <x v="1"/>
    <s v="Cheque"/>
    <x v="15"/>
    <s v="Productos lácteos"/>
    <x v="15"/>
    <n v="88"/>
    <n v="42873.599999999991"/>
    <n v="4244.4863999999989"/>
  </r>
  <r>
    <n v="1151"/>
    <x v="66"/>
    <n v="6"/>
    <s v="Empresa F"/>
    <x v="5"/>
    <x v="4"/>
    <x v="3"/>
    <x v="51"/>
    <x v="0"/>
    <s v="Tarjeta de crédito"/>
    <x v="0"/>
    <s v="Bebidas"/>
    <x v="0"/>
    <n v="65"/>
    <n v="12740"/>
    <n v="1337.7"/>
  </r>
  <r>
    <n v="1152"/>
    <x v="67"/>
    <n v="8"/>
    <s v="Empresa H"/>
    <x v="2"/>
    <x v="2"/>
    <x v="0"/>
    <x v="52"/>
    <x v="0"/>
    <s v="Cheque"/>
    <x v="9"/>
    <s v="Salsas"/>
    <x v="9"/>
    <n v="38"/>
    <n v="21280"/>
    <n v="2085.44"/>
  </r>
  <r>
    <n v="1153"/>
    <x v="67"/>
    <n v="8"/>
    <s v="Empresa H"/>
    <x v="2"/>
    <x v="2"/>
    <x v="1"/>
    <x v="52"/>
    <x v="0"/>
    <s v="Cheque"/>
    <x v="6"/>
    <s v="Productos horneados"/>
    <x v="6"/>
    <n v="80"/>
    <n v="10303.999999999998"/>
    <n v="989.18400000000008"/>
  </r>
  <r>
    <n v="1154"/>
    <x v="68"/>
    <n v="25"/>
    <s v="Empresa Y"/>
    <x v="7"/>
    <x v="6"/>
    <x v="2"/>
    <x v="53"/>
    <x v="1"/>
    <s v="Efectivo"/>
    <x v="21"/>
    <s v="Productos horneados"/>
    <x v="16"/>
    <n v="49"/>
    <n v="6860"/>
    <n v="658.56"/>
  </r>
  <r>
    <n v="1155"/>
    <x v="69"/>
    <n v="26"/>
    <s v="Empresa Z"/>
    <x v="9"/>
    <x v="5"/>
    <x v="3"/>
    <x v="54"/>
    <x v="2"/>
    <s v="Tarjeta de crédito"/>
    <x v="22"/>
    <s v="Aceite"/>
    <x v="20"/>
    <n v="90"/>
    <n v="26901.000000000004"/>
    <n v="2609.3970000000004"/>
  </r>
  <r>
    <n v="1156"/>
    <x v="69"/>
    <n v="26"/>
    <s v="Empresa Z"/>
    <x v="9"/>
    <x v="5"/>
    <x v="0"/>
    <x v="54"/>
    <x v="2"/>
    <s v="Tarjeta de crédito"/>
    <x v="8"/>
    <s v="Sopas"/>
    <x v="8"/>
    <n v="60"/>
    <n v="8106"/>
    <n v="834.91800000000012"/>
  </r>
  <r>
    <n v="1157"/>
    <x v="69"/>
    <n v="26"/>
    <s v="Empresa Z"/>
    <x v="9"/>
    <x v="5"/>
    <x v="1"/>
    <x v="54"/>
    <x v="2"/>
    <s v="Tarjeta de crédito"/>
    <x v="13"/>
    <s v="Carne "/>
    <x v="13"/>
    <n v="39"/>
    <n v="10046.399999999998"/>
    <n v="1004.6399999999999"/>
  </r>
  <r>
    <n v="1158"/>
    <x v="70"/>
    <n v="29"/>
    <s v="Empresa CC"/>
    <x v="3"/>
    <x v="3"/>
    <x v="2"/>
    <x v="55"/>
    <x v="0"/>
    <s v="Cheque"/>
    <x v="0"/>
    <s v="Bebidas"/>
    <x v="0"/>
    <n v="79"/>
    <n v="15484"/>
    <n v="1594.8520000000001"/>
  </r>
  <r>
    <n v="1159"/>
    <x v="66"/>
    <n v="6"/>
    <s v="Empresa F"/>
    <x v="5"/>
    <x v="4"/>
    <x v="3"/>
    <x v="51"/>
    <x v="2"/>
    <s v="Cheque"/>
    <x v="7"/>
    <s v="Dulces"/>
    <x v="7"/>
    <n v="44"/>
    <n v="7854"/>
    <n v="801.10800000000006"/>
  </r>
  <r>
    <n v="1161"/>
    <x v="71"/>
    <n v="4"/>
    <s v="Empresa D"/>
    <x v="1"/>
    <x v="1"/>
    <x v="0"/>
    <x v="56"/>
    <x v="1"/>
    <s v="Tarjeta de crédito"/>
    <x v="23"/>
    <s v="Mermeladas y jaleas"/>
    <x v="21"/>
    <n v="98"/>
    <n v="111132"/>
    <n v="10779.804"/>
  </r>
  <r>
    <n v="1162"/>
    <x v="71"/>
    <n v="4"/>
    <s v="Empresa D"/>
    <x v="1"/>
    <x v="1"/>
    <x v="1"/>
    <x v="56"/>
    <x v="1"/>
    <s v="Tarjeta de crédito"/>
    <x v="24"/>
    <s v="Grano"/>
    <x v="22"/>
    <n v="61"/>
    <n v="5978"/>
    <n v="591.822"/>
  </r>
  <r>
    <n v="1164"/>
    <x v="67"/>
    <n v="8"/>
    <s v="Empresa H"/>
    <x v="2"/>
    <x v="2"/>
    <x v="2"/>
    <x v="52"/>
    <x v="2"/>
    <s v="Tarjeta de crédito"/>
    <x v="15"/>
    <s v="Productos lácteos"/>
    <x v="15"/>
    <n v="30"/>
    <n v="14615.999999999998"/>
    <n v="1534.68"/>
  </r>
  <r>
    <n v="1167"/>
    <x v="72"/>
    <n v="3"/>
    <s v="Empresa C"/>
    <x v="4"/>
    <x v="0"/>
    <x v="3"/>
    <x v="57"/>
    <x v="0"/>
    <s v="Efectivo"/>
    <x v="16"/>
    <s v="Condimentos"/>
    <x v="16"/>
    <n v="24"/>
    <n v="3360"/>
    <n v="352.80000000000007"/>
  </r>
  <r>
    <n v="1168"/>
    <x v="72"/>
    <n v="3"/>
    <s v="Empresa C"/>
    <x v="4"/>
    <x v="0"/>
    <x v="0"/>
    <x v="57"/>
    <x v="0"/>
    <s v="Efectivo"/>
    <x v="9"/>
    <s v="Salsas"/>
    <x v="9"/>
    <n v="28"/>
    <n v="15680"/>
    <n v="1536.6399999999999"/>
  </r>
  <r>
    <n v="1172"/>
    <x v="61"/>
    <n v="10"/>
    <s v="Empresa J"/>
    <x v="7"/>
    <x v="6"/>
    <x v="1"/>
    <x v="48"/>
    <x v="0"/>
    <s v="Tarjeta de crédito"/>
    <x v="18"/>
    <s v="Frutas secas"/>
    <x v="16"/>
    <n v="74"/>
    <n v="10360"/>
    <n v="1004.9200000000001"/>
  </r>
  <r>
    <n v="1174"/>
    <x v="61"/>
    <n v="10"/>
    <s v="Empresa J"/>
    <x v="7"/>
    <x v="6"/>
    <x v="2"/>
    <x v="9"/>
    <x v="1"/>
    <m/>
    <x v="1"/>
    <s v="Frutas secas"/>
    <x v="1"/>
    <n v="90"/>
    <n v="4410"/>
    <n v="423.35999999999996"/>
  </r>
  <r>
    <n v="1175"/>
    <x v="62"/>
    <n v="11"/>
    <s v="Empresa K"/>
    <x v="9"/>
    <x v="5"/>
    <x v="3"/>
    <x v="9"/>
    <x v="2"/>
    <m/>
    <x v="9"/>
    <s v="Salsas"/>
    <x v="9"/>
    <n v="27"/>
    <n v="15120"/>
    <n v="1557.3600000000001"/>
  </r>
  <r>
    <n v="1176"/>
    <x v="63"/>
    <n v="1"/>
    <s v="Empresa A"/>
    <x v="10"/>
    <x v="2"/>
    <x v="0"/>
    <x v="9"/>
    <x v="2"/>
    <m/>
    <x v="13"/>
    <s v="Carne "/>
    <x v="13"/>
    <n v="71"/>
    <n v="18289.599999999999"/>
    <n v="1920.4079999999999"/>
  </r>
  <r>
    <n v="1177"/>
    <x v="64"/>
    <n v="28"/>
    <s v="Empresa BB"/>
    <x v="6"/>
    <x v="5"/>
    <x v="1"/>
    <x v="49"/>
    <x v="2"/>
    <s v="Tarjeta de crédito"/>
    <x v="5"/>
    <s v="Bebidas"/>
    <x v="5"/>
    <n v="74"/>
    <n v="47656"/>
    <n v="4765.6000000000004"/>
  </r>
  <r>
    <n v="1178"/>
    <x v="65"/>
    <n v="9"/>
    <s v="Empresa I"/>
    <x v="11"/>
    <x v="7"/>
    <x v="2"/>
    <x v="50"/>
    <x v="1"/>
    <s v="Cheque"/>
    <x v="8"/>
    <s v="Sopas"/>
    <x v="8"/>
    <n v="76"/>
    <n v="10267.6"/>
    <n v="1016.4924"/>
  </r>
  <r>
    <n v="1179"/>
    <x v="66"/>
    <n v="6"/>
    <s v="Empresa F"/>
    <x v="5"/>
    <x v="4"/>
    <x v="3"/>
    <x v="51"/>
    <x v="0"/>
    <s v="Tarjeta de crédito"/>
    <x v="7"/>
    <s v="Dulces"/>
    <x v="7"/>
    <n v="96"/>
    <n v="17136"/>
    <n v="1730.7360000000001"/>
  </r>
  <r>
    <n v="1180"/>
    <x v="67"/>
    <n v="8"/>
    <s v="Empresa H"/>
    <x v="2"/>
    <x v="2"/>
    <x v="0"/>
    <x v="52"/>
    <x v="0"/>
    <s v="Cheque"/>
    <x v="7"/>
    <s v="Dulces"/>
    <x v="7"/>
    <n v="92"/>
    <n v="16422"/>
    <n v="1625.7780000000002"/>
  </r>
  <r>
    <n v="1181"/>
    <x v="68"/>
    <n v="25"/>
    <s v="Empresa Y"/>
    <x v="7"/>
    <x v="6"/>
    <x v="1"/>
    <x v="53"/>
    <x v="1"/>
    <s v="Efectivo"/>
    <x v="12"/>
    <s v="Condimentos"/>
    <x v="12"/>
    <n v="93"/>
    <n v="28644"/>
    <n v="2807.1120000000001"/>
  </r>
  <r>
    <n v="1182"/>
    <x v="69"/>
    <n v="26"/>
    <s v="Empresa Z"/>
    <x v="9"/>
    <x v="5"/>
    <x v="2"/>
    <x v="54"/>
    <x v="2"/>
    <s v="Tarjeta de crédito"/>
    <x v="11"/>
    <s v="Mermeladas y jaleas"/>
    <x v="11"/>
    <n v="18"/>
    <n v="6300"/>
    <n v="598.5"/>
  </r>
  <r>
    <n v="1183"/>
    <x v="70"/>
    <n v="29"/>
    <s v="Empresa CC"/>
    <x v="3"/>
    <x v="3"/>
    <x v="3"/>
    <x v="55"/>
    <x v="0"/>
    <s v="Cheque"/>
    <x v="19"/>
    <s v="Frutas y vegetales"/>
    <x v="18"/>
    <n v="98"/>
    <n v="53508"/>
    <n v="5564.8320000000003"/>
  </r>
  <r>
    <n v="1184"/>
    <x v="66"/>
    <n v="6"/>
    <s v="Empresa F"/>
    <x v="5"/>
    <x v="4"/>
    <x v="0"/>
    <x v="51"/>
    <x v="2"/>
    <s v="Cheque"/>
    <x v="2"/>
    <s v="Frutas secas"/>
    <x v="2"/>
    <n v="46"/>
    <n v="19320"/>
    <n v="1893.3600000000001"/>
  </r>
  <r>
    <n v="1185"/>
    <x v="66"/>
    <n v="6"/>
    <s v="Empresa F"/>
    <x v="5"/>
    <x v="4"/>
    <x v="1"/>
    <x v="51"/>
    <x v="2"/>
    <s v="Cheque"/>
    <x v="3"/>
    <s v="Frutas secas"/>
    <x v="3"/>
    <n v="14"/>
    <n v="10388"/>
    <n v="1038.8"/>
  </r>
  <r>
    <n v="1186"/>
    <x v="71"/>
    <n v="4"/>
    <s v="Empresa D"/>
    <x v="1"/>
    <x v="1"/>
    <x v="2"/>
    <x v="9"/>
    <x v="3"/>
    <m/>
    <x v="20"/>
    <s v="Pasta"/>
    <x v="19"/>
    <n v="85"/>
    <n v="45220"/>
    <n v="4476.78"/>
  </r>
  <r>
    <n v="1187"/>
    <x v="72"/>
    <n v="3"/>
    <s v="Empresa C"/>
    <x v="4"/>
    <x v="0"/>
    <x v="3"/>
    <x v="9"/>
    <x v="3"/>
    <m/>
    <x v="10"/>
    <s v="Bebidas"/>
    <x v="10"/>
    <n v="88"/>
    <n v="3683.68"/>
    <n v="357.31695999999999"/>
  </r>
  <r>
    <n v="1188"/>
    <x v="73"/>
    <n v="1"/>
    <s v="Empresa A"/>
    <x v="10"/>
    <x v="2"/>
    <x v="0"/>
    <x v="9"/>
    <x v="3"/>
    <m/>
    <x v="10"/>
    <s v="Bebidas"/>
    <x v="10"/>
    <n v="81"/>
    <n v="3390.66"/>
    <n v="335.67534000000006"/>
  </r>
  <r>
    <n v="1189"/>
    <x v="74"/>
    <n v="28"/>
    <s v="Empresa BB"/>
    <x v="6"/>
    <x v="5"/>
    <x v="1"/>
    <x v="58"/>
    <x v="2"/>
    <s v="Tarjeta de crédito"/>
    <x v="8"/>
    <s v="Sopas"/>
    <x v="8"/>
    <n v="33"/>
    <n v="4458.3"/>
    <n v="423.5385"/>
  </r>
  <r>
    <n v="1190"/>
    <x v="74"/>
    <n v="28"/>
    <s v="Empresa BB"/>
    <x v="6"/>
    <x v="5"/>
    <x v="2"/>
    <x v="58"/>
    <x v="2"/>
    <s v="Tarjeta de crédito"/>
    <x v="13"/>
    <s v="Carne "/>
    <x v="13"/>
    <n v="47"/>
    <n v="12107.199999999999"/>
    <n v="1271.2560000000001"/>
  </r>
  <r>
    <n v="1191"/>
    <x v="75"/>
    <n v="9"/>
    <s v="Empresa I"/>
    <x v="11"/>
    <x v="7"/>
    <x v="3"/>
    <x v="59"/>
    <x v="1"/>
    <s v="Cheque"/>
    <x v="14"/>
    <s v="Pasta"/>
    <x v="14"/>
    <n v="61"/>
    <n v="16653"/>
    <n v="1731.9120000000003"/>
  </r>
  <r>
    <n v="1192"/>
    <x v="75"/>
    <n v="9"/>
    <s v="Empresa I"/>
    <x v="11"/>
    <x v="7"/>
    <x v="0"/>
    <x v="59"/>
    <x v="1"/>
    <s v="Cheque"/>
    <x v="15"/>
    <s v="Productos lácteos"/>
    <x v="15"/>
    <n v="27"/>
    <n v="13154.399999999998"/>
    <n v="1341.7487999999998"/>
  </r>
  <r>
    <n v="1193"/>
    <x v="76"/>
    <n v="6"/>
    <s v="Empresa F"/>
    <x v="5"/>
    <x v="4"/>
    <x v="1"/>
    <x v="60"/>
    <x v="0"/>
    <s v="Tarjeta de crédito"/>
    <x v="0"/>
    <s v="Bebidas"/>
    <x v="0"/>
    <n v="84"/>
    <n v="16464"/>
    <n v="1662.864"/>
  </r>
  <r>
    <n v="1194"/>
    <x v="77"/>
    <n v="8"/>
    <s v="Empresa H"/>
    <x v="2"/>
    <x v="2"/>
    <x v="2"/>
    <x v="61"/>
    <x v="0"/>
    <s v="Cheque"/>
    <x v="9"/>
    <s v="Salsas"/>
    <x v="9"/>
    <n v="91"/>
    <n v="50960"/>
    <n v="5045.04"/>
  </r>
  <r>
    <n v="1195"/>
    <x v="77"/>
    <n v="8"/>
    <s v="Empresa H"/>
    <x v="2"/>
    <x v="2"/>
    <x v="3"/>
    <x v="61"/>
    <x v="0"/>
    <s v="Cheque"/>
    <x v="6"/>
    <s v="Productos horneados"/>
    <x v="6"/>
    <n v="36"/>
    <n v="4636.7999999999993"/>
    <n v="482.22720000000004"/>
  </r>
  <r>
    <n v="1196"/>
    <x v="78"/>
    <n v="25"/>
    <s v="Empresa Y"/>
    <x v="7"/>
    <x v="6"/>
    <x v="0"/>
    <x v="62"/>
    <x v="1"/>
    <s v="Efectivo"/>
    <x v="21"/>
    <s v="Productos horneados"/>
    <x v="16"/>
    <n v="34"/>
    <n v="4760"/>
    <n v="480.76000000000005"/>
  </r>
  <r>
    <n v="1197"/>
    <x v="79"/>
    <n v="26"/>
    <s v="Empresa Z"/>
    <x v="9"/>
    <x v="5"/>
    <x v="1"/>
    <x v="63"/>
    <x v="2"/>
    <s v="Tarjeta de crédito"/>
    <x v="22"/>
    <s v="Aceite"/>
    <x v="20"/>
    <n v="81"/>
    <n v="24210.9"/>
    <n v="2493.7227000000003"/>
  </r>
  <r>
    <n v="1198"/>
    <x v="79"/>
    <n v="26"/>
    <s v="Empresa Z"/>
    <x v="9"/>
    <x v="5"/>
    <x v="2"/>
    <x v="63"/>
    <x v="2"/>
    <s v="Tarjeta de crédito"/>
    <x v="8"/>
    <s v="Sopas"/>
    <x v="8"/>
    <n v="25"/>
    <n v="3377.5"/>
    <n v="327.61750000000001"/>
  </r>
  <r>
    <n v="1199"/>
    <x v="79"/>
    <n v="26"/>
    <s v="Empresa Z"/>
    <x v="9"/>
    <x v="5"/>
    <x v="3"/>
    <x v="63"/>
    <x v="2"/>
    <s v="Tarjeta de crédito"/>
    <x v="13"/>
    <s v="Carne "/>
    <x v="13"/>
    <n v="12"/>
    <n v="3091.2"/>
    <n v="309.12"/>
  </r>
  <r>
    <n v="1200"/>
    <x v="80"/>
    <n v="29"/>
    <s v="Empresa CC"/>
    <x v="3"/>
    <x v="3"/>
    <x v="0"/>
    <x v="64"/>
    <x v="0"/>
    <s v="Cheque"/>
    <x v="0"/>
    <s v="Bebidas"/>
    <x v="0"/>
    <n v="23"/>
    <n v="4508"/>
    <n v="432.76800000000003"/>
  </r>
  <r>
    <n v="1201"/>
    <x v="76"/>
    <n v="6"/>
    <s v="Empresa F"/>
    <x v="5"/>
    <x v="4"/>
    <x v="1"/>
    <x v="60"/>
    <x v="2"/>
    <s v="Cheque"/>
    <x v="7"/>
    <s v="Dulces"/>
    <x v="7"/>
    <n v="76"/>
    <n v="13566"/>
    <n v="1370.1659999999999"/>
  </r>
  <r>
    <n v="1203"/>
    <x v="81"/>
    <n v="4"/>
    <s v="Empresa D"/>
    <x v="1"/>
    <x v="1"/>
    <x v="2"/>
    <x v="65"/>
    <x v="1"/>
    <s v="Tarjeta de crédito"/>
    <x v="23"/>
    <s v="Mermeladas y jaleas"/>
    <x v="21"/>
    <n v="55"/>
    <n v="62370"/>
    <n v="6237"/>
  </r>
  <r>
    <n v="1204"/>
    <x v="81"/>
    <n v="4"/>
    <s v="Empresa D"/>
    <x v="1"/>
    <x v="1"/>
    <x v="3"/>
    <x v="65"/>
    <x v="1"/>
    <s v="Tarjeta de crédito"/>
    <x v="24"/>
    <s v="Grano"/>
    <x v="22"/>
    <n v="19"/>
    <n v="1862"/>
    <n v="180.614"/>
  </r>
  <r>
    <n v="1206"/>
    <x v="77"/>
    <n v="8"/>
    <s v="Empresa H"/>
    <x v="2"/>
    <x v="2"/>
    <x v="0"/>
    <x v="61"/>
    <x v="2"/>
    <s v="Tarjeta de crédito"/>
    <x v="15"/>
    <s v="Productos lácteos"/>
    <x v="15"/>
    <n v="27"/>
    <n v="13154.399999999998"/>
    <n v="1249.6679999999999"/>
  </r>
  <r>
    <n v="1209"/>
    <x v="82"/>
    <n v="3"/>
    <s v="Empresa C"/>
    <x v="4"/>
    <x v="0"/>
    <x v="1"/>
    <x v="66"/>
    <x v="0"/>
    <s v="Efectivo"/>
    <x v="16"/>
    <s v="Condimentos"/>
    <x v="16"/>
    <n v="99"/>
    <n v="13860"/>
    <n v="1330.56"/>
  </r>
  <r>
    <n v="1210"/>
    <x v="82"/>
    <n v="3"/>
    <s v="Empresa C"/>
    <x v="4"/>
    <x v="0"/>
    <x v="2"/>
    <x v="66"/>
    <x v="0"/>
    <s v="Efectivo"/>
    <x v="9"/>
    <s v="Salsas"/>
    <x v="9"/>
    <n v="10"/>
    <n v="5600"/>
    <n v="560"/>
  </r>
  <r>
    <n v="1214"/>
    <x v="83"/>
    <n v="10"/>
    <s v="Empresa J"/>
    <x v="7"/>
    <x v="6"/>
    <x v="3"/>
    <x v="67"/>
    <x v="0"/>
    <s v="Tarjeta de crédito"/>
    <x v="18"/>
    <s v="Frutas secas"/>
    <x v="16"/>
    <n v="80"/>
    <n v="11200"/>
    <n v="1086.3999999999999"/>
  </r>
  <r>
    <n v="1216"/>
    <x v="83"/>
    <n v="10"/>
    <s v="Empresa J"/>
    <x v="7"/>
    <x v="6"/>
    <x v="0"/>
    <x v="9"/>
    <x v="1"/>
    <m/>
    <x v="1"/>
    <s v="Frutas secas"/>
    <x v="1"/>
    <n v="27"/>
    <n v="1323"/>
    <n v="127.00800000000001"/>
  </r>
  <r>
    <n v="1217"/>
    <x v="84"/>
    <n v="11"/>
    <s v="Empresa K"/>
    <x v="9"/>
    <x v="5"/>
    <x v="1"/>
    <x v="9"/>
    <x v="2"/>
    <m/>
    <x v="9"/>
    <s v="Salsas"/>
    <x v="9"/>
    <n v="97"/>
    <n v="54320"/>
    <n v="5323.3600000000006"/>
  </r>
  <r>
    <n v="1218"/>
    <x v="73"/>
    <n v="1"/>
    <s v="Empresa A"/>
    <x v="10"/>
    <x v="2"/>
    <x v="2"/>
    <x v="9"/>
    <x v="2"/>
    <m/>
    <x v="13"/>
    <s v="Carne "/>
    <x v="13"/>
    <n v="42"/>
    <n v="10819.199999999999"/>
    <n v="1125.1967999999999"/>
  </r>
  <r>
    <n v="1219"/>
    <x v="74"/>
    <n v="28"/>
    <s v="Empresa BB"/>
    <x v="6"/>
    <x v="5"/>
    <x v="3"/>
    <x v="58"/>
    <x v="2"/>
    <s v="Tarjeta de crédito"/>
    <x v="5"/>
    <s v="Bebidas"/>
    <x v="5"/>
    <n v="24"/>
    <n v="15456"/>
    <n v="1483.7759999999998"/>
  </r>
  <r>
    <n v="1220"/>
    <x v="75"/>
    <n v="9"/>
    <s v="Empresa I"/>
    <x v="11"/>
    <x v="7"/>
    <x v="0"/>
    <x v="59"/>
    <x v="1"/>
    <s v="Cheque"/>
    <x v="8"/>
    <s v="Sopas"/>
    <x v="8"/>
    <n v="90"/>
    <n v="12159"/>
    <n v="1167.2640000000001"/>
  </r>
  <r>
    <n v="1221"/>
    <x v="76"/>
    <n v="6"/>
    <s v="Empresa F"/>
    <x v="5"/>
    <x v="4"/>
    <x v="1"/>
    <x v="60"/>
    <x v="0"/>
    <s v="Tarjeta de crédito"/>
    <x v="7"/>
    <s v="Dulces"/>
    <x v="7"/>
    <n v="28"/>
    <n v="4998"/>
    <n v="499.80000000000007"/>
  </r>
  <r>
    <n v="1222"/>
    <x v="85"/>
    <n v="28"/>
    <s v="Empresa BB"/>
    <x v="6"/>
    <x v="5"/>
    <x v="2"/>
    <x v="68"/>
    <x v="2"/>
    <s v="Cheque"/>
    <x v="5"/>
    <s v="Bebidas"/>
    <x v="5"/>
    <n v="28"/>
    <n v="18032"/>
    <n v="1875.3280000000004"/>
  </r>
  <r>
    <n v="1223"/>
    <x v="86"/>
    <n v="8"/>
    <s v="Empresa H"/>
    <x v="2"/>
    <x v="2"/>
    <x v="3"/>
    <x v="69"/>
    <x v="2"/>
    <s v="Cheque"/>
    <x v="7"/>
    <s v="Dulces"/>
    <x v="7"/>
    <n v="57"/>
    <n v="10174.5"/>
    <n v="976.75199999999995"/>
  </r>
  <r>
    <n v="1224"/>
    <x v="87"/>
    <n v="10"/>
    <s v="Empresa J"/>
    <x v="7"/>
    <x v="6"/>
    <x v="0"/>
    <x v="70"/>
    <x v="0"/>
    <s v="Tarjeta de crédito"/>
    <x v="10"/>
    <s v="Bebidas"/>
    <x v="10"/>
    <n v="23"/>
    <n v="962.78"/>
    <n v="93.389660000000021"/>
  </r>
  <r>
    <n v="1225"/>
    <x v="88"/>
    <n v="7"/>
    <s v="Empresa G"/>
    <x v="8"/>
    <x v="2"/>
    <x v="1"/>
    <x v="9"/>
    <x v="3"/>
    <m/>
    <x v="5"/>
    <s v="Bebidas"/>
    <x v="5"/>
    <n v="86"/>
    <n v="55384"/>
    <n v="5593.7840000000006"/>
  </r>
  <r>
    <n v="1226"/>
    <x v="87"/>
    <n v="10"/>
    <s v="Empresa J"/>
    <x v="7"/>
    <x v="6"/>
    <x v="2"/>
    <x v="70"/>
    <x v="1"/>
    <m/>
    <x v="11"/>
    <s v="Mermeladas y jaleas"/>
    <x v="11"/>
    <n v="47"/>
    <n v="16450"/>
    <n v="1628.55"/>
  </r>
  <r>
    <n v="1227"/>
    <x v="87"/>
    <n v="10"/>
    <s v="Empresa J"/>
    <x v="7"/>
    <x v="6"/>
    <x v="3"/>
    <x v="70"/>
    <x v="1"/>
    <m/>
    <x v="12"/>
    <s v="Condimentos"/>
    <x v="12"/>
    <n v="97"/>
    <n v="29876"/>
    <n v="3107.1040000000003"/>
  </r>
  <r>
    <n v="1228"/>
    <x v="87"/>
    <n v="10"/>
    <s v="Empresa J"/>
    <x v="7"/>
    <x v="6"/>
    <x v="0"/>
    <x v="70"/>
    <x v="1"/>
    <m/>
    <x v="6"/>
    <s v="Productos horneados"/>
    <x v="6"/>
    <n v="96"/>
    <n v="12364.8"/>
    <n v="1211.7503999999999"/>
  </r>
  <r>
    <n v="1229"/>
    <x v="89"/>
    <n v="11"/>
    <s v="Empresa K"/>
    <x v="9"/>
    <x v="5"/>
    <x v="1"/>
    <x v="9"/>
    <x v="2"/>
    <m/>
    <x v="1"/>
    <s v="Frutas secas"/>
    <x v="1"/>
    <n v="31"/>
    <n v="1519"/>
    <n v="151.90000000000003"/>
  </r>
  <r>
    <n v="1230"/>
    <x v="89"/>
    <n v="11"/>
    <s v="Empresa K"/>
    <x v="9"/>
    <x v="5"/>
    <x v="2"/>
    <x v="9"/>
    <x v="2"/>
    <m/>
    <x v="10"/>
    <s v="Bebidas"/>
    <x v="10"/>
    <n v="52"/>
    <n v="2176.7199999999998"/>
    <n v="224.20216000000005"/>
  </r>
  <r>
    <n v="1231"/>
    <x v="90"/>
    <n v="1"/>
    <s v="Empresa A"/>
    <x v="10"/>
    <x v="2"/>
    <x v="3"/>
    <x v="9"/>
    <x v="3"/>
    <m/>
    <x v="4"/>
    <s v="Bebidas"/>
    <x v="4"/>
    <n v="91"/>
    <n v="22932"/>
    <n v="2224.404"/>
  </r>
  <r>
    <n v="1232"/>
    <x v="90"/>
    <n v="1"/>
    <s v="Empresa A"/>
    <x v="10"/>
    <x v="2"/>
    <x v="0"/>
    <x v="9"/>
    <x v="3"/>
    <m/>
    <x v="5"/>
    <s v="Bebidas"/>
    <x v="5"/>
    <n v="14"/>
    <n v="9016"/>
    <n v="892.58400000000006"/>
  </r>
  <r>
    <n v="1233"/>
    <x v="90"/>
    <n v="1"/>
    <s v="Empresa A"/>
    <x v="10"/>
    <x v="2"/>
    <x v="1"/>
    <x v="9"/>
    <x v="3"/>
    <m/>
    <x v="10"/>
    <s v="Bebidas"/>
    <x v="10"/>
    <n v="44"/>
    <n v="1841.84"/>
    <n v="186.02584000000002"/>
  </r>
  <r>
    <n v="1234"/>
    <x v="85"/>
    <n v="28"/>
    <s v="Empresa BB"/>
    <x v="6"/>
    <x v="5"/>
    <x v="2"/>
    <x v="68"/>
    <x v="2"/>
    <s v="Tarjeta de crédito"/>
    <x v="8"/>
    <s v="Sopas"/>
    <x v="8"/>
    <n v="97"/>
    <n v="13104.699999999999"/>
    <n v="1336.6794000000002"/>
  </r>
  <r>
    <n v="1235"/>
    <x v="85"/>
    <n v="28"/>
    <s v="Empresa BB"/>
    <x v="6"/>
    <x v="5"/>
    <x v="3"/>
    <x v="68"/>
    <x v="2"/>
    <s v="Tarjeta de crédito"/>
    <x v="13"/>
    <s v="Carne "/>
    <x v="13"/>
    <n v="80"/>
    <n v="20607.999999999996"/>
    <n v="2102.0160000000005"/>
  </r>
  <r>
    <n v="1236"/>
    <x v="91"/>
    <n v="9"/>
    <s v="Empresa I"/>
    <x v="11"/>
    <x v="7"/>
    <x v="0"/>
    <x v="71"/>
    <x v="1"/>
    <s v="Cheque"/>
    <x v="14"/>
    <s v="Pasta"/>
    <x v="14"/>
    <n v="66"/>
    <n v="18018"/>
    <n v="1855.854"/>
  </r>
  <r>
    <n v="1237"/>
    <x v="91"/>
    <n v="9"/>
    <s v="Empresa I"/>
    <x v="11"/>
    <x v="7"/>
    <x v="1"/>
    <x v="71"/>
    <x v="1"/>
    <s v="Cheque"/>
    <x v="15"/>
    <s v="Productos lácteos"/>
    <x v="15"/>
    <n v="32"/>
    <n v="15590.399999999998"/>
    <n v="1559.04"/>
  </r>
  <r>
    <n v="1238"/>
    <x v="92"/>
    <n v="6"/>
    <s v="Empresa F"/>
    <x v="5"/>
    <x v="4"/>
    <x v="2"/>
    <x v="72"/>
    <x v="0"/>
    <s v="Tarjeta de crédito"/>
    <x v="0"/>
    <s v="Bebidas"/>
    <x v="0"/>
    <n v="52"/>
    <n v="10192"/>
    <n v="1019.1999999999999"/>
  </r>
  <r>
    <n v="1239"/>
    <x v="86"/>
    <n v="8"/>
    <s v="Empresa H"/>
    <x v="2"/>
    <x v="2"/>
    <x v="3"/>
    <x v="69"/>
    <x v="0"/>
    <s v="Cheque"/>
    <x v="9"/>
    <s v="Salsas"/>
    <x v="9"/>
    <n v="78"/>
    <n v="43680"/>
    <n v="4455.3600000000006"/>
  </r>
  <r>
    <n v="1240"/>
    <x v="86"/>
    <n v="8"/>
    <s v="Empresa H"/>
    <x v="2"/>
    <x v="2"/>
    <x v="0"/>
    <x v="69"/>
    <x v="0"/>
    <s v="Cheque"/>
    <x v="6"/>
    <s v="Productos horneados"/>
    <x v="6"/>
    <n v="54"/>
    <n v="6955.1999999999989"/>
    <n v="688.56479999999999"/>
  </r>
  <r>
    <n v="1241"/>
    <x v="93"/>
    <n v="25"/>
    <s v="Empresa Y"/>
    <x v="7"/>
    <x v="6"/>
    <x v="1"/>
    <x v="73"/>
    <x v="1"/>
    <s v="Efectivo"/>
    <x v="21"/>
    <s v="Productos horneados"/>
    <x v="16"/>
    <n v="55"/>
    <n v="7700"/>
    <n v="731.5"/>
  </r>
  <r>
    <n v="1242"/>
    <x v="94"/>
    <n v="26"/>
    <s v="Empresa Z"/>
    <x v="9"/>
    <x v="5"/>
    <x v="2"/>
    <x v="74"/>
    <x v="2"/>
    <s v="Tarjeta de crédito"/>
    <x v="22"/>
    <s v="Aceite"/>
    <x v="20"/>
    <n v="60"/>
    <n v="17934.000000000004"/>
    <n v="1811.3340000000001"/>
  </r>
  <r>
    <n v="1243"/>
    <x v="94"/>
    <n v="26"/>
    <s v="Empresa Z"/>
    <x v="9"/>
    <x v="5"/>
    <x v="3"/>
    <x v="74"/>
    <x v="2"/>
    <s v="Tarjeta de crédito"/>
    <x v="8"/>
    <s v="Sopas"/>
    <x v="8"/>
    <n v="19"/>
    <n v="2566.9"/>
    <n v="243.85550000000001"/>
  </r>
  <r>
    <n v="1244"/>
    <x v="94"/>
    <n v="26"/>
    <s v="Empresa Z"/>
    <x v="9"/>
    <x v="5"/>
    <x v="0"/>
    <x v="74"/>
    <x v="2"/>
    <s v="Tarjeta de crédito"/>
    <x v="13"/>
    <s v="Carne "/>
    <x v="13"/>
    <n v="66"/>
    <n v="17001.599999999999"/>
    <n v="1751.1648"/>
  </r>
  <r>
    <n v="1245"/>
    <x v="95"/>
    <n v="29"/>
    <s v="Empresa CC"/>
    <x v="3"/>
    <x v="3"/>
    <x v="1"/>
    <x v="75"/>
    <x v="0"/>
    <s v="Cheque"/>
    <x v="0"/>
    <s v="Bebidas"/>
    <x v="0"/>
    <n v="42"/>
    <n v="8232"/>
    <n v="831.43200000000002"/>
  </r>
  <r>
    <n v="1246"/>
    <x v="92"/>
    <n v="6"/>
    <s v="Empresa F"/>
    <x v="5"/>
    <x v="4"/>
    <x v="2"/>
    <x v="72"/>
    <x v="2"/>
    <s v="Cheque"/>
    <x v="7"/>
    <s v="Dulces"/>
    <x v="7"/>
    <n v="72"/>
    <n v="12852"/>
    <n v="1246.644"/>
  </r>
  <r>
    <n v="1248"/>
    <x v="96"/>
    <n v="4"/>
    <s v="Empresa D"/>
    <x v="1"/>
    <x v="1"/>
    <x v="3"/>
    <x v="76"/>
    <x v="1"/>
    <s v="Tarjeta de crédito"/>
    <x v="23"/>
    <s v="Mermeladas y jaleas"/>
    <x v="21"/>
    <n v="32"/>
    <n v="36288"/>
    <n v="3519.9359999999997"/>
  </r>
  <r>
    <n v="1249"/>
    <x v="96"/>
    <n v="4"/>
    <s v="Empresa D"/>
    <x v="1"/>
    <x v="1"/>
    <x v="0"/>
    <x v="76"/>
    <x v="1"/>
    <s v="Tarjeta de crédito"/>
    <x v="24"/>
    <s v="Grano"/>
    <x v="22"/>
    <n v="76"/>
    <n v="7448"/>
    <n v="752.24800000000005"/>
  </r>
  <r>
    <n v="1250"/>
    <x v="97"/>
    <n v="10"/>
    <s v="Empresa J"/>
    <x v="7"/>
    <x v="6"/>
    <x v="1"/>
    <x v="77"/>
    <x v="1"/>
    <m/>
    <x v="6"/>
    <s v="Productos horneados"/>
    <x v="6"/>
    <n v="83"/>
    <n v="10690.399999999998"/>
    <n v="1047.6591999999998"/>
  </r>
  <r>
    <n v="1251"/>
    <x v="98"/>
    <n v="11"/>
    <s v="Empresa K"/>
    <x v="9"/>
    <x v="5"/>
    <x v="2"/>
    <x v="9"/>
    <x v="2"/>
    <m/>
    <x v="1"/>
    <s v="Frutas secas"/>
    <x v="1"/>
    <n v="91"/>
    <n v="4459"/>
    <n v="436.98200000000003"/>
  </r>
  <r>
    <n v="1252"/>
    <x v="98"/>
    <n v="11"/>
    <s v="Empresa K"/>
    <x v="9"/>
    <x v="5"/>
    <x v="3"/>
    <x v="9"/>
    <x v="2"/>
    <m/>
    <x v="10"/>
    <s v="Bebidas"/>
    <x v="10"/>
    <n v="64"/>
    <n v="2679.04"/>
    <n v="273.26208000000003"/>
  </r>
  <r>
    <n v="1253"/>
    <x v="99"/>
    <n v="1"/>
    <s v="Empresa A"/>
    <x v="10"/>
    <x v="2"/>
    <x v="0"/>
    <x v="9"/>
    <x v="3"/>
    <m/>
    <x v="4"/>
    <s v="Bebidas"/>
    <x v="4"/>
    <n v="58"/>
    <n v="14616"/>
    <n v="1446.9840000000002"/>
  </r>
  <r>
    <n v="1254"/>
    <x v="99"/>
    <n v="1"/>
    <s v="Empresa A"/>
    <x v="10"/>
    <x v="2"/>
    <x v="1"/>
    <x v="9"/>
    <x v="3"/>
    <m/>
    <x v="5"/>
    <s v="Bebidas"/>
    <x v="5"/>
    <n v="97"/>
    <n v="62468"/>
    <n v="6496.6720000000005"/>
  </r>
  <r>
    <n v="1255"/>
    <x v="99"/>
    <n v="1"/>
    <s v="Empresa A"/>
    <x v="10"/>
    <x v="2"/>
    <x v="2"/>
    <x v="9"/>
    <x v="3"/>
    <m/>
    <x v="10"/>
    <s v="Bebidas"/>
    <x v="10"/>
    <n v="14"/>
    <n v="586.04"/>
    <n v="60.948160000000001"/>
  </r>
  <r>
    <n v="1256"/>
    <x v="100"/>
    <n v="28"/>
    <s v="Empresa BB"/>
    <x v="6"/>
    <x v="5"/>
    <x v="3"/>
    <x v="78"/>
    <x v="2"/>
    <s v="Tarjeta de crédito"/>
    <x v="8"/>
    <s v="Sopas"/>
    <x v="8"/>
    <n v="68"/>
    <n v="9186.7999999999993"/>
    <n v="900.30640000000017"/>
  </r>
  <r>
    <n v="1257"/>
    <x v="100"/>
    <n v="28"/>
    <s v="Empresa BB"/>
    <x v="6"/>
    <x v="5"/>
    <x v="0"/>
    <x v="78"/>
    <x v="2"/>
    <s v="Tarjeta de crédito"/>
    <x v="13"/>
    <s v="Carne "/>
    <x v="13"/>
    <n v="32"/>
    <n v="8243.1999999999989"/>
    <n v="824.31999999999994"/>
  </r>
  <r>
    <n v="1258"/>
    <x v="101"/>
    <n v="9"/>
    <s v="Empresa I"/>
    <x v="11"/>
    <x v="7"/>
    <x v="1"/>
    <x v="79"/>
    <x v="1"/>
    <s v="Cheque"/>
    <x v="14"/>
    <s v="Pasta"/>
    <x v="14"/>
    <n v="48"/>
    <n v="13104"/>
    <n v="1323.5040000000001"/>
  </r>
  <r>
    <n v="1259"/>
    <x v="101"/>
    <n v="9"/>
    <s v="Empresa I"/>
    <x v="11"/>
    <x v="7"/>
    <x v="2"/>
    <x v="79"/>
    <x v="1"/>
    <s v="Cheque"/>
    <x v="15"/>
    <s v="Productos lácteos"/>
    <x v="15"/>
    <n v="57"/>
    <n v="27770.399999999998"/>
    <n v="2721.4992000000002"/>
  </r>
  <r>
    <n v="1260"/>
    <x v="102"/>
    <n v="6"/>
    <s v="Empresa F"/>
    <x v="5"/>
    <x v="4"/>
    <x v="3"/>
    <x v="80"/>
    <x v="0"/>
    <s v="Tarjeta de crédito"/>
    <x v="0"/>
    <s v="Bebidas"/>
    <x v="0"/>
    <n v="67"/>
    <n v="13132"/>
    <n v="1378.8600000000001"/>
  </r>
  <r>
    <n v="1261"/>
    <x v="103"/>
    <n v="8"/>
    <s v="Empresa H"/>
    <x v="2"/>
    <x v="2"/>
    <x v="0"/>
    <x v="81"/>
    <x v="0"/>
    <s v="Cheque"/>
    <x v="9"/>
    <s v="Salsas"/>
    <x v="9"/>
    <n v="48"/>
    <n v="26880"/>
    <n v="2634.24"/>
  </r>
  <r>
    <n v="1262"/>
    <x v="103"/>
    <n v="8"/>
    <s v="Empresa H"/>
    <x v="2"/>
    <x v="2"/>
    <x v="1"/>
    <x v="81"/>
    <x v="0"/>
    <s v="Cheque"/>
    <x v="6"/>
    <s v="Productos horneados"/>
    <x v="6"/>
    <n v="77"/>
    <n v="9917.5999999999985"/>
    <n v="1011.5952"/>
  </r>
  <r>
    <n v="1263"/>
    <x v="104"/>
    <n v="25"/>
    <s v="Empresa Y"/>
    <x v="7"/>
    <x v="6"/>
    <x v="2"/>
    <x v="82"/>
    <x v="1"/>
    <s v="Efectivo"/>
    <x v="21"/>
    <s v="Productos horneados"/>
    <x v="16"/>
    <n v="94"/>
    <n v="13160"/>
    <n v="1368.64"/>
  </r>
  <r>
    <n v="1264"/>
    <x v="105"/>
    <n v="26"/>
    <s v="Empresa Z"/>
    <x v="9"/>
    <x v="5"/>
    <x v="3"/>
    <x v="83"/>
    <x v="2"/>
    <s v="Tarjeta de crédito"/>
    <x v="22"/>
    <s v="Aceite"/>
    <x v="20"/>
    <n v="54"/>
    <n v="16140.600000000002"/>
    <n v="1694.7630000000004"/>
  </r>
  <r>
    <n v="1265"/>
    <x v="105"/>
    <n v="26"/>
    <s v="Empresa Z"/>
    <x v="9"/>
    <x v="5"/>
    <x v="0"/>
    <x v="83"/>
    <x v="2"/>
    <s v="Tarjeta de crédito"/>
    <x v="8"/>
    <s v="Sopas"/>
    <x v="8"/>
    <n v="43"/>
    <n v="5809.3"/>
    <n v="563.50210000000004"/>
  </r>
  <r>
    <n v="1266"/>
    <x v="105"/>
    <n v="26"/>
    <s v="Empresa Z"/>
    <x v="9"/>
    <x v="5"/>
    <x v="1"/>
    <x v="83"/>
    <x v="2"/>
    <s v="Tarjeta de crédito"/>
    <x v="13"/>
    <s v="Carne "/>
    <x v="13"/>
    <n v="71"/>
    <n v="18289.599999999999"/>
    <n v="1883.8287999999998"/>
  </r>
  <r>
    <n v="1267"/>
    <x v="106"/>
    <n v="29"/>
    <s v="Empresa CC"/>
    <x v="3"/>
    <x v="3"/>
    <x v="2"/>
    <x v="84"/>
    <x v="0"/>
    <s v="Cheque"/>
    <x v="0"/>
    <s v="Bebidas"/>
    <x v="0"/>
    <n v="50"/>
    <n v="9800"/>
    <n v="940.80000000000007"/>
  </r>
  <r>
    <n v="1268"/>
    <x v="102"/>
    <n v="6"/>
    <s v="Empresa F"/>
    <x v="5"/>
    <x v="4"/>
    <x v="3"/>
    <x v="80"/>
    <x v="2"/>
    <s v="Cheque"/>
    <x v="7"/>
    <s v="Dulces"/>
    <x v="7"/>
    <n v="96"/>
    <n v="17136"/>
    <n v="1679.328"/>
  </r>
  <r>
    <n v="1270"/>
    <x v="107"/>
    <n v="4"/>
    <s v="Empresa D"/>
    <x v="1"/>
    <x v="1"/>
    <x v="0"/>
    <x v="85"/>
    <x v="1"/>
    <s v="Tarjeta de crédito"/>
    <x v="23"/>
    <s v="Mermeladas y jaleas"/>
    <x v="21"/>
    <n v="54"/>
    <n v="61236"/>
    <n v="6123.6"/>
  </r>
  <r>
    <n v="1271"/>
    <x v="107"/>
    <n v="4"/>
    <s v="Empresa D"/>
    <x v="1"/>
    <x v="1"/>
    <x v="1"/>
    <x v="85"/>
    <x v="1"/>
    <s v="Tarjeta de crédito"/>
    <x v="24"/>
    <s v="Grano"/>
    <x v="22"/>
    <n v="39"/>
    <n v="3822"/>
    <n v="382.2"/>
  </r>
  <r>
    <n v="1273"/>
    <x v="103"/>
    <n v="8"/>
    <s v="Empresa H"/>
    <x v="2"/>
    <x v="2"/>
    <x v="2"/>
    <x v="81"/>
    <x v="2"/>
    <s v="Tarjeta de crédito"/>
    <x v="15"/>
    <s v="Productos lácteos"/>
    <x v="15"/>
    <n v="63"/>
    <n v="30693.599999999995"/>
    <n v="3222.828"/>
  </r>
  <r>
    <n v="1276"/>
    <x v="108"/>
    <n v="3"/>
    <s v="Empresa C"/>
    <x v="4"/>
    <x v="0"/>
    <x v="3"/>
    <x v="86"/>
    <x v="0"/>
    <s v="Efectivo"/>
    <x v="16"/>
    <s v="Condimentos"/>
    <x v="16"/>
    <n v="71"/>
    <n v="9940"/>
    <n v="1023.8199999999999"/>
  </r>
  <r>
    <n v="1277"/>
    <x v="108"/>
    <n v="3"/>
    <s v="Empresa C"/>
    <x v="4"/>
    <x v="0"/>
    <x v="0"/>
    <x v="86"/>
    <x v="0"/>
    <s v="Efectivo"/>
    <x v="9"/>
    <s v="Salsas"/>
    <x v="9"/>
    <n v="88"/>
    <n v="49280"/>
    <n v="5125.1200000000008"/>
  </r>
  <r>
    <n v="1281"/>
    <x v="97"/>
    <n v="10"/>
    <s v="Empresa J"/>
    <x v="7"/>
    <x v="6"/>
    <x v="1"/>
    <x v="77"/>
    <x v="0"/>
    <s v="Tarjeta de crédito"/>
    <x v="18"/>
    <s v="Frutas secas"/>
    <x v="16"/>
    <n v="59"/>
    <n v="8260"/>
    <n v="834.26"/>
  </r>
  <r>
    <n v="1282"/>
    <x v="109"/>
    <n v="6"/>
    <s v="Empresa F"/>
    <x v="5"/>
    <x v="4"/>
    <x v="2"/>
    <x v="87"/>
    <x v="0"/>
    <s v="Tarjeta de crédito"/>
    <x v="9"/>
    <s v="Salsas"/>
    <x v="9"/>
    <n v="94"/>
    <n v="52640"/>
    <n v="5264"/>
  </r>
  <r>
    <n v="1283"/>
    <x v="110"/>
    <n v="28"/>
    <s v="Empresa BB"/>
    <x v="6"/>
    <x v="5"/>
    <x v="3"/>
    <x v="88"/>
    <x v="2"/>
    <s v="Cheque"/>
    <x v="5"/>
    <s v="Bebidas"/>
    <x v="5"/>
    <n v="86"/>
    <n v="55384"/>
    <n v="5316.8640000000005"/>
  </r>
  <r>
    <n v="1284"/>
    <x v="111"/>
    <n v="8"/>
    <s v="Empresa H"/>
    <x v="2"/>
    <x v="2"/>
    <x v="0"/>
    <x v="89"/>
    <x v="2"/>
    <s v="Cheque"/>
    <x v="7"/>
    <s v="Dulces"/>
    <x v="7"/>
    <n v="61"/>
    <n v="10888.5"/>
    <n v="1099.7384999999999"/>
  </r>
  <r>
    <n v="1285"/>
    <x v="112"/>
    <n v="10"/>
    <s v="Empresa J"/>
    <x v="7"/>
    <x v="6"/>
    <x v="1"/>
    <x v="90"/>
    <x v="0"/>
    <s v="Tarjeta de crédito"/>
    <x v="10"/>
    <s v="Bebidas"/>
    <x v="10"/>
    <n v="32"/>
    <n v="1339.52"/>
    <n v="136.63104000000001"/>
  </r>
  <r>
    <n v="1286"/>
    <x v="113"/>
    <n v="7"/>
    <s v="Empresa G"/>
    <x v="8"/>
    <x v="2"/>
    <x v="2"/>
    <x v="9"/>
    <x v="3"/>
    <m/>
    <x v="5"/>
    <s v="Bebidas"/>
    <x v="5"/>
    <n v="62"/>
    <n v="39928"/>
    <n v="4072.6559999999999"/>
  </r>
  <r>
    <n v="1287"/>
    <x v="112"/>
    <n v="10"/>
    <s v="Empresa J"/>
    <x v="7"/>
    <x v="6"/>
    <x v="3"/>
    <x v="90"/>
    <x v="1"/>
    <m/>
    <x v="11"/>
    <s v="Mermeladas y jaleas"/>
    <x v="11"/>
    <n v="60"/>
    <n v="21000"/>
    <n v="2163"/>
  </r>
  <r>
    <n v="1288"/>
    <x v="112"/>
    <n v="10"/>
    <s v="Empresa J"/>
    <x v="7"/>
    <x v="6"/>
    <x v="0"/>
    <x v="90"/>
    <x v="1"/>
    <m/>
    <x v="12"/>
    <s v="Condimentos"/>
    <x v="12"/>
    <n v="51"/>
    <n v="15708"/>
    <n v="1539.384"/>
  </r>
  <r>
    <n v="1289"/>
    <x v="112"/>
    <n v="10"/>
    <s v="Empresa J"/>
    <x v="7"/>
    <x v="6"/>
    <x v="1"/>
    <x v="90"/>
    <x v="1"/>
    <m/>
    <x v="6"/>
    <s v="Productos horneados"/>
    <x v="6"/>
    <n v="49"/>
    <n v="6311.1999999999989"/>
    <n v="624.80880000000002"/>
  </r>
  <r>
    <n v="1290"/>
    <x v="114"/>
    <n v="11"/>
    <s v="Empresa K"/>
    <x v="9"/>
    <x v="5"/>
    <x v="2"/>
    <x v="9"/>
    <x v="2"/>
    <m/>
    <x v="1"/>
    <s v="Frutas secas"/>
    <x v="1"/>
    <n v="20"/>
    <n v="980"/>
    <n v="97.02"/>
  </r>
  <r>
    <n v="1291"/>
    <x v="114"/>
    <n v="11"/>
    <s v="Empresa K"/>
    <x v="9"/>
    <x v="5"/>
    <x v="3"/>
    <x v="9"/>
    <x v="2"/>
    <m/>
    <x v="10"/>
    <s v="Bebidas"/>
    <x v="10"/>
    <n v="49"/>
    <n v="2051.14"/>
    <n v="205.11400000000003"/>
  </r>
  <r>
    <n v="1292"/>
    <x v="115"/>
    <n v="1"/>
    <s v="Empresa A"/>
    <x v="10"/>
    <x v="2"/>
    <x v="0"/>
    <x v="9"/>
    <x v="3"/>
    <m/>
    <x v="4"/>
    <s v="Bebidas"/>
    <x v="4"/>
    <n v="22"/>
    <n v="5544"/>
    <n v="532.22399999999993"/>
  </r>
  <r>
    <n v="1293"/>
    <x v="115"/>
    <n v="1"/>
    <s v="Empresa A"/>
    <x v="10"/>
    <x v="2"/>
    <x v="1"/>
    <x v="9"/>
    <x v="3"/>
    <m/>
    <x v="5"/>
    <s v="Bebidas"/>
    <x v="5"/>
    <n v="73"/>
    <n v="47012"/>
    <n v="4748.2120000000004"/>
  </r>
  <r>
    <n v="1294"/>
    <x v="115"/>
    <n v="1"/>
    <s v="Empresa A"/>
    <x v="10"/>
    <x v="2"/>
    <x v="2"/>
    <x v="9"/>
    <x v="3"/>
    <m/>
    <x v="10"/>
    <s v="Bebidas"/>
    <x v="10"/>
    <n v="85"/>
    <n v="3558.1"/>
    <n v="345.13570000000004"/>
  </r>
  <r>
    <n v="1295"/>
    <x v="110"/>
    <n v="28"/>
    <s v="Empresa BB"/>
    <x v="6"/>
    <x v="5"/>
    <x v="3"/>
    <x v="88"/>
    <x v="2"/>
    <s v="Tarjeta de crédito"/>
    <x v="8"/>
    <s v="Sopas"/>
    <x v="8"/>
    <n v="44"/>
    <n v="5944.4"/>
    <n v="618.21760000000006"/>
  </r>
  <r>
    <n v="1296"/>
    <x v="110"/>
    <n v="28"/>
    <s v="Empresa BB"/>
    <x v="6"/>
    <x v="5"/>
    <x v="0"/>
    <x v="88"/>
    <x v="2"/>
    <s v="Tarjeta de crédito"/>
    <x v="13"/>
    <s v="Carne "/>
    <x v="13"/>
    <n v="24"/>
    <n v="6182.4"/>
    <n v="599.69279999999992"/>
  </r>
  <r>
    <n v="1297"/>
    <x v="116"/>
    <n v="9"/>
    <s v="Empresa I"/>
    <x v="11"/>
    <x v="7"/>
    <x v="1"/>
    <x v="91"/>
    <x v="1"/>
    <s v="Cheque"/>
    <x v="14"/>
    <s v="Pasta"/>
    <x v="14"/>
    <n v="64"/>
    <n v="17472"/>
    <n v="1677.3120000000001"/>
  </r>
  <r>
    <n v="1298"/>
    <x v="116"/>
    <n v="9"/>
    <s v="Empresa I"/>
    <x v="11"/>
    <x v="7"/>
    <x v="2"/>
    <x v="91"/>
    <x v="1"/>
    <s v="Cheque"/>
    <x v="15"/>
    <s v="Productos lácteos"/>
    <x v="15"/>
    <n v="70"/>
    <n v="34103.999999999993"/>
    <n v="3444.5040000000004"/>
  </r>
  <r>
    <n v="1299"/>
    <x v="109"/>
    <n v="6"/>
    <s v="Empresa F"/>
    <x v="5"/>
    <x v="4"/>
    <x v="3"/>
    <x v="87"/>
    <x v="0"/>
    <s v="Tarjeta de crédito"/>
    <x v="0"/>
    <s v="Bebidas"/>
    <x v="0"/>
    <n v="98"/>
    <n v="19208"/>
    <n v="1940.0080000000005"/>
  </r>
  <r>
    <n v="1300"/>
    <x v="111"/>
    <n v="8"/>
    <s v="Empresa H"/>
    <x v="2"/>
    <x v="2"/>
    <x v="0"/>
    <x v="89"/>
    <x v="0"/>
    <s v="Cheque"/>
    <x v="9"/>
    <s v="Salsas"/>
    <x v="9"/>
    <n v="48"/>
    <n v="26880"/>
    <n v="2634.24"/>
  </r>
  <r>
    <n v="1301"/>
    <x v="111"/>
    <n v="8"/>
    <s v="Empresa H"/>
    <x v="2"/>
    <x v="2"/>
    <x v="1"/>
    <x v="89"/>
    <x v="0"/>
    <s v="Cheque"/>
    <x v="6"/>
    <s v="Productos horneados"/>
    <x v="6"/>
    <n v="100"/>
    <n v="12879.999999999998"/>
    <n v="1275.1199999999999"/>
  </r>
  <r>
    <n v="1302"/>
    <x v="117"/>
    <n v="25"/>
    <s v="Empresa Y"/>
    <x v="7"/>
    <x v="6"/>
    <x v="2"/>
    <x v="92"/>
    <x v="1"/>
    <s v="Efectivo"/>
    <x v="21"/>
    <s v="Productos horneados"/>
    <x v="16"/>
    <n v="90"/>
    <n v="12600"/>
    <n v="1222.2"/>
  </r>
  <r>
    <n v="1303"/>
    <x v="118"/>
    <n v="26"/>
    <s v="Empresa Z"/>
    <x v="9"/>
    <x v="5"/>
    <x v="3"/>
    <x v="93"/>
    <x v="2"/>
    <s v="Tarjeta de crédito"/>
    <x v="22"/>
    <s v="Aceite"/>
    <x v="20"/>
    <n v="49"/>
    <n v="14646.100000000002"/>
    <n v="1435.3178"/>
  </r>
  <r>
    <n v="1304"/>
    <x v="118"/>
    <n v="26"/>
    <s v="Empresa Z"/>
    <x v="9"/>
    <x v="5"/>
    <x v="0"/>
    <x v="93"/>
    <x v="2"/>
    <s v="Tarjeta de crédito"/>
    <x v="8"/>
    <s v="Sopas"/>
    <x v="8"/>
    <n v="71"/>
    <n v="9592.1"/>
    <n v="920.84159999999997"/>
  </r>
  <r>
    <n v="1305"/>
    <x v="118"/>
    <n v="26"/>
    <s v="Empresa Z"/>
    <x v="9"/>
    <x v="5"/>
    <x v="1"/>
    <x v="93"/>
    <x v="2"/>
    <s v="Tarjeta de crédito"/>
    <x v="13"/>
    <s v="Carne "/>
    <x v="13"/>
    <n v="10"/>
    <n v="2575.9999999999995"/>
    <n v="267.90400000000005"/>
  </r>
  <r>
    <n v="1306"/>
    <x v="119"/>
    <n v="29"/>
    <s v="Empresa CC"/>
    <x v="3"/>
    <x v="3"/>
    <x v="2"/>
    <x v="94"/>
    <x v="0"/>
    <s v="Cheque"/>
    <x v="0"/>
    <s v="Bebidas"/>
    <x v="0"/>
    <n v="78"/>
    <n v="15288"/>
    <n v="1574.664"/>
  </r>
  <r>
    <n v="1307"/>
    <x v="109"/>
    <n v="6"/>
    <s v="Empresa F"/>
    <x v="5"/>
    <x v="4"/>
    <x v="3"/>
    <x v="87"/>
    <x v="2"/>
    <s v="Cheque"/>
    <x v="7"/>
    <s v="Dulces"/>
    <x v="7"/>
    <n v="44"/>
    <n v="7854"/>
    <n v="753.98400000000004"/>
  </r>
  <r>
    <n v="1309"/>
    <x v="120"/>
    <n v="4"/>
    <s v="Empresa D"/>
    <x v="1"/>
    <x v="1"/>
    <x v="0"/>
    <x v="95"/>
    <x v="1"/>
    <s v="Tarjeta de crédito"/>
    <x v="23"/>
    <s v="Mermeladas y jaleas"/>
    <x v="21"/>
    <n v="82"/>
    <n v="92988"/>
    <n v="9763.7400000000016"/>
  </r>
  <r>
    <n v="1310"/>
    <x v="120"/>
    <n v="4"/>
    <s v="Empresa D"/>
    <x v="1"/>
    <x v="1"/>
    <x v="1"/>
    <x v="95"/>
    <x v="1"/>
    <s v="Tarjeta de crédito"/>
    <x v="24"/>
    <s v="Grano"/>
    <x v="22"/>
    <n v="29"/>
    <n v="2842"/>
    <n v="284.2"/>
  </r>
  <r>
    <n v="1312"/>
    <x v="111"/>
    <n v="8"/>
    <s v="Empresa H"/>
    <x v="2"/>
    <x v="2"/>
    <x v="2"/>
    <x v="89"/>
    <x v="2"/>
    <s v="Tarjeta de crédito"/>
    <x v="15"/>
    <s v="Productos lácteos"/>
    <x v="15"/>
    <n v="93"/>
    <n v="45309.599999999991"/>
    <n v="4395.0311999999994"/>
  </r>
  <r>
    <n v="1315"/>
    <x v="121"/>
    <n v="3"/>
    <s v="Empresa C"/>
    <x v="4"/>
    <x v="0"/>
    <x v="3"/>
    <x v="96"/>
    <x v="0"/>
    <s v="Efectivo"/>
    <x v="16"/>
    <s v="Condimentos"/>
    <x v="16"/>
    <n v="11"/>
    <n v="1540"/>
    <n v="160.16000000000003"/>
  </r>
  <r>
    <n v="1316"/>
    <x v="121"/>
    <n v="3"/>
    <s v="Empresa C"/>
    <x v="4"/>
    <x v="0"/>
    <x v="0"/>
    <x v="96"/>
    <x v="0"/>
    <s v="Efectivo"/>
    <x v="9"/>
    <s v="Salsas"/>
    <x v="9"/>
    <n v="91"/>
    <n v="50960"/>
    <n v="5096"/>
  </r>
  <r>
    <n v="1320"/>
    <x v="112"/>
    <n v="10"/>
    <s v="Empresa J"/>
    <x v="7"/>
    <x v="6"/>
    <x v="1"/>
    <x v="90"/>
    <x v="0"/>
    <s v="Tarjeta de crédito"/>
    <x v="18"/>
    <s v="Frutas secas"/>
    <x v="16"/>
    <n v="12"/>
    <n v="1680"/>
    <n v="173.04"/>
  </r>
  <r>
    <n v="1322"/>
    <x v="112"/>
    <n v="10"/>
    <s v="Empresa J"/>
    <x v="7"/>
    <x v="6"/>
    <x v="2"/>
    <x v="9"/>
    <x v="1"/>
    <m/>
    <x v="1"/>
    <s v="Frutas secas"/>
    <x v="1"/>
    <n v="78"/>
    <n v="3822"/>
    <n v="382.2"/>
  </r>
  <r>
    <n v="1323"/>
    <x v="114"/>
    <n v="11"/>
    <s v="Empresa K"/>
    <x v="9"/>
    <x v="5"/>
    <x v="3"/>
    <x v="9"/>
    <x v="2"/>
    <m/>
    <x v="9"/>
    <s v="Salsas"/>
    <x v="9"/>
    <n v="60"/>
    <n v="33600"/>
    <n v="3192"/>
  </r>
  <r>
    <n v="1324"/>
    <x v="115"/>
    <n v="1"/>
    <s v="Empresa A"/>
    <x v="10"/>
    <x v="2"/>
    <x v="0"/>
    <x v="9"/>
    <x v="2"/>
    <m/>
    <x v="13"/>
    <s v="Carne "/>
    <x v="13"/>
    <n v="23"/>
    <n v="5924.7999999999993"/>
    <n v="610.25440000000003"/>
  </r>
  <r>
    <n v="1325"/>
    <x v="110"/>
    <n v="28"/>
    <s v="Empresa BB"/>
    <x v="6"/>
    <x v="5"/>
    <x v="1"/>
    <x v="88"/>
    <x v="2"/>
    <s v="Tarjeta de crédito"/>
    <x v="5"/>
    <s v="Bebidas"/>
    <x v="5"/>
    <n v="34"/>
    <n v="21896"/>
    <n v="2211.4960000000001"/>
  </r>
  <r>
    <n v="1326"/>
    <x v="116"/>
    <n v="9"/>
    <s v="Empresa I"/>
    <x v="11"/>
    <x v="7"/>
    <x v="2"/>
    <x v="91"/>
    <x v="1"/>
    <s v="Cheque"/>
    <x v="8"/>
    <s v="Sopas"/>
    <x v="8"/>
    <n v="89"/>
    <n v="12023.9"/>
    <n v="1214.4139"/>
  </r>
  <r>
    <n v="1327"/>
    <x v="109"/>
    <n v="6"/>
    <s v="Empresa F"/>
    <x v="5"/>
    <x v="4"/>
    <x v="3"/>
    <x v="87"/>
    <x v="0"/>
    <s v="Tarjeta de crédito"/>
    <x v="7"/>
    <s v="Dulces"/>
    <x v="7"/>
    <n v="82"/>
    <n v="14637"/>
    <n v="1449.0630000000001"/>
  </r>
  <r>
    <n v="1328"/>
    <x v="111"/>
    <n v="8"/>
    <s v="Empresa H"/>
    <x v="2"/>
    <x v="2"/>
    <x v="0"/>
    <x v="89"/>
    <x v="0"/>
    <s v="Cheque"/>
    <x v="7"/>
    <s v="Dulces"/>
    <x v="7"/>
    <n v="43"/>
    <n v="7675.5"/>
    <n v="736.84799999999996"/>
  </r>
  <r>
    <n v="1329"/>
    <x v="122"/>
    <n v="10"/>
    <s v="Empresa J"/>
    <x v="7"/>
    <x v="6"/>
    <x v="1"/>
    <x v="97"/>
    <x v="1"/>
    <m/>
    <x v="12"/>
    <s v="Condimentos"/>
    <x v="12"/>
    <n v="96"/>
    <n v="29568"/>
    <n v="3104.6400000000003"/>
  </r>
  <r>
    <n v="1330"/>
    <x v="122"/>
    <n v="10"/>
    <s v="Empresa J"/>
    <x v="7"/>
    <x v="6"/>
    <x v="2"/>
    <x v="97"/>
    <x v="1"/>
    <m/>
    <x v="6"/>
    <s v="Productos horneados"/>
    <x v="6"/>
    <n v="34"/>
    <n v="4379.2"/>
    <n v="437.91999999999996"/>
  </r>
  <r>
    <n v="1331"/>
    <x v="123"/>
    <n v="11"/>
    <s v="Empresa K"/>
    <x v="9"/>
    <x v="5"/>
    <x v="3"/>
    <x v="9"/>
    <x v="2"/>
    <m/>
    <x v="1"/>
    <s v="Frutas secas"/>
    <x v="1"/>
    <n v="42"/>
    <n v="2058"/>
    <n v="211.97400000000002"/>
  </r>
  <r>
    <n v="1332"/>
    <x v="123"/>
    <n v="11"/>
    <s v="Empresa K"/>
    <x v="9"/>
    <x v="5"/>
    <x v="0"/>
    <x v="9"/>
    <x v="2"/>
    <m/>
    <x v="10"/>
    <s v="Bebidas"/>
    <x v="10"/>
    <n v="100"/>
    <n v="4186"/>
    <n v="426.97200000000004"/>
  </r>
  <r>
    <n v="1333"/>
    <x v="124"/>
    <n v="1"/>
    <s v="Empresa A"/>
    <x v="10"/>
    <x v="2"/>
    <x v="1"/>
    <x v="9"/>
    <x v="3"/>
    <m/>
    <x v="4"/>
    <s v="Bebidas"/>
    <x v="4"/>
    <n v="42"/>
    <n v="10584"/>
    <n v="1068.9840000000002"/>
  </r>
  <r>
    <n v="1334"/>
    <x v="124"/>
    <n v="1"/>
    <s v="Empresa A"/>
    <x v="10"/>
    <x v="2"/>
    <x v="2"/>
    <x v="9"/>
    <x v="3"/>
    <m/>
    <x v="5"/>
    <s v="Bebidas"/>
    <x v="5"/>
    <n v="16"/>
    <n v="10304"/>
    <n v="989.18400000000008"/>
  </r>
  <r>
    <n v="1335"/>
    <x v="124"/>
    <n v="1"/>
    <s v="Empresa A"/>
    <x v="10"/>
    <x v="2"/>
    <x v="3"/>
    <x v="9"/>
    <x v="3"/>
    <m/>
    <x v="10"/>
    <s v="Bebidas"/>
    <x v="10"/>
    <n v="22"/>
    <n v="920.92"/>
    <n v="89.329239999999999"/>
  </r>
  <r>
    <n v="1336"/>
    <x v="125"/>
    <n v="28"/>
    <s v="Empresa BB"/>
    <x v="6"/>
    <x v="5"/>
    <x v="0"/>
    <x v="98"/>
    <x v="2"/>
    <s v="Tarjeta de crédito"/>
    <x v="8"/>
    <s v="Sopas"/>
    <x v="8"/>
    <n v="46"/>
    <n v="6214.5999999999995"/>
    <n v="640.10380000000009"/>
  </r>
  <r>
    <n v="1337"/>
    <x v="125"/>
    <n v="28"/>
    <s v="Empresa BB"/>
    <x v="6"/>
    <x v="5"/>
    <x v="1"/>
    <x v="98"/>
    <x v="2"/>
    <s v="Tarjeta de crédito"/>
    <x v="13"/>
    <s v="Carne "/>
    <x v="13"/>
    <n v="100"/>
    <n v="25759.999999999996"/>
    <n v="2576"/>
  </r>
  <r>
    <n v="1338"/>
    <x v="126"/>
    <n v="9"/>
    <s v="Empresa I"/>
    <x v="11"/>
    <x v="7"/>
    <x v="2"/>
    <x v="99"/>
    <x v="1"/>
    <s v="Cheque"/>
    <x v="14"/>
    <s v="Pasta"/>
    <x v="14"/>
    <n v="87"/>
    <n v="23751"/>
    <n v="2446.3530000000001"/>
  </r>
  <r>
    <n v="1339"/>
    <x v="126"/>
    <n v="9"/>
    <s v="Empresa I"/>
    <x v="11"/>
    <x v="7"/>
    <x v="3"/>
    <x v="99"/>
    <x v="1"/>
    <s v="Cheque"/>
    <x v="15"/>
    <s v="Productos lácteos"/>
    <x v="15"/>
    <n v="58"/>
    <n v="28257.599999999995"/>
    <n v="2882.2752"/>
  </r>
  <r>
    <n v="1340"/>
    <x v="127"/>
    <n v="6"/>
    <s v="Empresa F"/>
    <x v="5"/>
    <x v="4"/>
    <x v="0"/>
    <x v="100"/>
    <x v="0"/>
    <s v="Tarjeta de crédito"/>
    <x v="0"/>
    <s v="Bebidas"/>
    <x v="0"/>
    <n v="85"/>
    <n v="16660"/>
    <n v="1682.6599999999999"/>
  </r>
  <r>
    <n v="1341"/>
    <x v="128"/>
    <n v="8"/>
    <s v="Empresa H"/>
    <x v="2"/>
    <x v="2"/>
    <x v="1"/>
    <x v="101"/>
    <x v="0"/>
    <s v="Cheque"/>
    <x v="9"/>
    <s v="Salsas"/>
    <x v="9"/>
    <n v="28"/>
    <n v="15680"/>
    <n v="1552.32"/>
  </r>
  <r>
    <n v="1342"/>
    <x v="128"/>
    <n v="8"/>
    <s v="Empresa H"/>
    <x v="2"/>
    <x v="2"/>
    <x v="2"/>
    <x v="101"/>
    <x v="0"/>
    <s v="Cheque"/>
    <x v="6"/>
    <s v="Productos horneados"/>
    <x v="6"/>
    <n v="19"/>
    <n v="2447.1999999999998"/>
    <n v="239.82560000000001"/>
  </r>
  <r>
    <n v="1343"/>
    <x v="129"/>
    <n v="25"/>
    <s v="Empresa Y"/>
    <x v="7"/>
    <x v="6"/>
    <x v="3"/>
    <x v="102"/>
    <x v="1"/>
    <s v="Efectivo"/>
    <x v="21"/>
    <s v="Productos horneados"/>
    <x v="16"/>
    <n v="99"/>
    <n v="13860"/>
    <n v="1441.44"/>
  </r>
  <r>
    <n v="1344"/>
    <x v="130"/>
    <n v="26"/>
    <s v="Empresa Z"/>
    <x v="9"/>
    <x v="5"/>
    <x v="0"/>
    <x v="103"/>
    <x v="2"/>
    <s v="Tarjeta de crédito"/>
    <x v="22"/>
    <s v="Aceite"/>
    <x v="20"/>
    <n v="69"/>
    <n v="20624.100000000002"/>
    <n v="2144.9064000000008"/>
  </r>
  <r>
    <n v="1345"/>
    <x v="130"/>
    <n v="26"/>
    <s v="Empresa Z"/>
    <x v="9"/>
    <x v="5"/>
    <x v="1"/>
    <x v="103"/>
    <x v="2"/>
    <s v="Tarjeta de crédito"/>
    <x v="8"/>
    <s v="Sopas"/>
    <x v="8"/>
    <n v="37"/>
    <n v="4998.7"/>
    <n v="474.87650000000002"/>
  </r>
  <r>
    <n v="1346"/>
    <x v="130"/>
    <n v="26"/>
    <s v="Empresa Z"/>
    <x v="9"/>
    <x v="5"/>
    <x v="2"/>
    <x v="103"/>
    <x v="2"/>
    <s v="Tarjeta de crédito"/>
    <x v="13"/>
    <s v="Carne "/>
    <x v="13"/>
    <n v="64"/>
    <n v="16486.399999999998"/>
    <n v="1665.1263999999999"/>
  </r>
  <r>
    <n v="1347"/>
    <x v="131"/>
    <n v="29"/>
    <s v="Empresa CC"/>
    <x v="3"/>
    <x v="3"/>
    <x v="3"/>
    <x v="104"/>
    <x v="0"/>
    <s v="Cheque"/>
    <x v="0"/>
    <s v="Bebidas"/>
    <x v="0"/>
    <n v="38"/>
    <n v="7448"/>
    <n v="774.5920000000001"/>
  </r>
  <r>
    <n v="1348"/>
    <x v="127"/>
    <n v="6"/>
    <s v="Empresa F"/>
    <x v="5"/>
    <x v="4"/>
    <x v="0"/>
    <x v="100"/>
    <x v="2"/>
    <s v="Cheque"/>
    <x v="7"/>
    <s v="Dulces"/>
    <x v="7"/>
    <n v="15"/>
    <n v="2677.5"/>
    <n v="259.71749999999997"/>
  </r>
  <r>
    <n v="1350"/>
    <x v="132"/>
    <n v="4"/>
    <s v="Empresa D"/>
    <x v="1"/>
    <x v="1"/>
    <x v="1"/>
    <x v="105"/>
    <x v="1"/>
    <s v="Tarjeta de crédito"/>
    <x v="23"/>
    <s v="Mermeladas y jaleas"/>
    <x v="21"/>
    <n v="52"/>
    <n v="58968"/>
    <n v="5778.8640000000005"/>
  </r>
  <r>
    <n v="1351"/>
    <x v="132"/>
    <n v="4"/>
    <s v="Empresa D"/>
    <x v="1"/>
    <x v="1"/>
    <x v="2"/>
    <x v="105"/>
    <x v="1"/>
    <s v="Tarjeta de crédito"/>
    <x v="24"/>
    <s v="Grano"/>
    <x v="22"/>
    <n v="37"/>
    <n v="3626"/>
    <n v="355.34800000000001"/>
  </r>
  <r>
    <n v="1353"/>
    <x v="128"/>
    <n v="8"/>
    <s v="Empresa H"/>
    <x v="2"/>
    <x v="2"/>
    <x v="3"/>
    <x v="101"/>
    <x v="2"/>
    <s v="Tarjeta de crédito"/>
    <x v="15"/>
    <s v="Productos lácteos"/>
    <x v="15"/>
    <n v="24"/>
    <n v="11692.8"/>
    <n v="1122.5087999999998"/>
  </r>
  <r>
    <n v="1356"/>
    <x v="133"/>
    <n v="3"/>
    <s v="Empresa C"/>
    <x v="4"/>
    <x v="0"/>
    <x v="0"/>
    <x v="106"/>
    <x v="0"/>
    <s v="Efectivo"/>
    <x v="16"/>
    <s v="Condimentos"/>
    <x v="16"/>
    <n v="36"/>
    <n v="5040"/>
    <n v="519.12"/>
  </r>
  <r>
    <n v="1357"/>
    <x v="133"/>
    <n v="3"/>
    <s v="Empresa C"/>
    <x v="4"/>
    <x v="0"/>
    <x v="1"/>
    <x v="106"/>
    <x v="0"/>
    <s v="Efectivo"/>
    <x v="9"/>
    <s v="Salsas"/>
    <x v="9"/>
    <n v="24"/>
    <n v="13440"/>
    <n v="1344"/>
  </r>
  <r>
    <n v="1361"/>
    <x v="122"/>
    <n v="10"/>
    <s v="Empresa J"/>
    <x v="7"/>
    <x v="6"/>
    <x v="2"/>
    <x v="97"/>
    <x v="0"/>
    <s v="Tarjeta de crédito"/>
    <x v="18"/>
    <s v="Frutas secas"/>
    <x v="16"/>
    <n v="20"/>
    <n v="2800"/>
    <n v="280"/>
  </r>
  <r>
    <n v="1363"/>
    <x v="122"/>
    <n v="10"/>
    <s v="Empresa J"/>
    <x v="7"/>
    <x v="6"/>
    <x v="3"/>
    <x v="9"/>
    <x v="1"/>
    <m/>
    <x v="1"/>
    <s v="Frutas secas"/>
    <x v="1"/>
    <n v="11"/>
    <n v="539"/>
    <n v="52.283000000000001"/>
  </r>
  <r>
    <n v="1364"/>
    <x v="123"/>
    <n v="11"/>
    <s v="Empresa K"/>
    <x v="9"/>
    <x v="5"/>
    <x v="0"/>
    <x v="9"/>
    <x v="2"/>
    <m/>
    <x v="9"/>
    <s v="Salsas"/>
    <x v="9"/>
    <n v="78"/>
    <n v="43680"/>
    <n v="4193.28"/>
  </r>
  <r>
    <n v="1365"/>
    <x v="124"/>
    <n v="1"/>
    <s v="Empresa A"/>
    <x v="10"/>
    <x v="2"/>
    <x v="1"/>
    <x v="9"/>
    <x v="2"/>
    <m/>
    <x v="13"/>
    <s v="Carne "/>
    <x v="13"/>
    <n v="76"/>
    <n v="19577.599999999999"/>
    <n v="2016.4928"/>
  </r>
  <r>
    <n v="1366"/>
    <x v="125"/>
    <n v="28"/>
    <s v="Empresa BB"/>
    <x v="6"/>
    <x v="5"/>
    <x v="2"/>
    <x v="98"/>
    <x v="2"/>
    <s v="Tarjeta de crédito"/>
    <x v="5"/>
    <s v="Bebidas"/>
    <x v="5"/>
    <n v="57"/>
    <n v="36708"/>
    <n v="3817.6319999999996"/>
  </r>
  <r>
    <n v="1367"/>
    <x v="126"/>
    <n v="9"/>
    <s v="Empresa I"/>
    <x v="11"/>
    <x v="7"/>
    <x v="3"/>
    <x v="99"/>
    <x v="1"/>
    <s v="Cheque"/>
    <x v="8"/>
    <s v="Sopas"/>
    <x v="8"/>
    <n v="14"/>
    <n v="1891.3999999999999"/>
    <n v="181.5744"/>
  </r>
  <r>
    <n v="1368"/>
    <x v="134"/>
    <n v="27"/>
    <s v="Empresa AA"/>
    <x v="0"/>
    <x v="0"/>
    <x v="0"/>
    <x v="107"/>
    <x v="0"/>
    <s v="Cheque"/>
    <x v="0"/>
    <s v="Bebidas"/>
    <x v="0"/>
    <n v="14"/>
    <n v="2744"/>
    <n v="277.14400000000006"/>
  </r>
  <r>
    <n v="1369"/>
    <x v="134"/>
    <n v="27"/>
    <s v="Empresa AA"/>
    <x v="0"/>
    <x v="0"/>
    <x v="1"/>
    <x v="107"/>
    <x v="0"/>
    <s v="Cheque"/>
    <x v="1"/>
    <s v="Frutas secas"/>
    <x v="1"/>
    <n v="70"/>
    <n v="3430"/>
    <n v="353.28999999999996"/>
  </r>
  <r>
    <n v="1370"/>
    <x v="135"/>
    <n v="4"/>
    <s v="Empresa D"/>
    <x v="1"/>
    <x v="1"/>
    <x v="2"/>
    <x v="108"/>
    <x v="1"/>
    <s v="Tarjeta de crédito"/>
    <x v="2"/>
    <s v="Frutas secas"/>
    <x v="2"/>
    <n v="100"/>
    <n v="42000"/>
    <n v="4074"/>
  </r>
  <r>
    <n v="1371"/>
    <x v="135"/>
    <n v="4"/>
    <s v="Empresa D"/>
    <x v="1"/>
    <x v="1"/>
    <x v="3"/>
    <x v="108"/>
    <x v="1"/>
    <s v="Tarjeta de crédito"/>
    <x v="3"/>
    <s v="Frutas secas"/>
    <x v="3"/>
    <n v="27"/>
    <n v="20034"/>
    <n v="2003.3999999999999"/>
  </r>
  <r>
    <n v="1372"/>
    <x v="135"/>
    <n v="4"/>
    <s v="Empresa D"/>
    <x v="1"/>
    <x v="1"/>
    <x v="0"/>
    <x v="108"/>
    <x v="1"/>
    <s v="Tarjeta de crédito"/>
    <x v="1"/>
    <s v="Frutas secas"/>
    <x v="1"/>
    <n v="70"/>
    <n v="3430"/>
    <n v="336.14"/>
  </r>
  <r>
    <n v="1373"/>
    <x v="136"/>
    <n v="12"/>
    <s v="Empresa L"/>
    <x v="0"/>
    <x v="0"/>
    <x v="1"/>
    <x v="109"/>
    <x v="0"/>
    <s v="Tarjeta de crédito"/>
    <x v="4"/>
    <s v="Bebidas"/>
    <x v="4"/>
    <n v="57"/>
    <n v="14364"/>
    <n v="1436.4"/>
  </r>
  <r>
    <n v="1374"/>
    <x v="136"/>
    <n v="12"/>
    <s v="Empresa L"/>
    <x v="0"/>
    <x v="0"/>
    <x v="2"/>
    <x v="109"/>
    <x v="0"/>
    <s v="Tarjeta de crédito"/>
    <x v="5"/>
    <s v="Bebidas"/>
    <x v="5"/>
    <n v="83"/>
    <n v="53452"/>
    <n v="5238.2960000000003"/>
  </r>
  <r>
    <n v="1375"/>
    <x v="137"/>
    <n v="8"/>
    <s v="Empresa H"/>
    <x v="2"/>
    <x v="2"/>
    <x v="3"/>
    <x v="110"/>
    <x v="2"/>
    <s v="Tarjeta de crédito"/>
    <x v="6"/>
    <s v="Productos horneados"/>
    <x v="6"/>
    <n v="76"/>
    <n v="9788.7999999999993"/>
    <n v="939.72479999999996"/>
  </r>
  <r>
    <n v="1376"/>
    <x v="135"/>
    <n v="4"/>
    <s v="Empresa D"/>
    <x v="1"/>
    <x v="1"/>
    <x v="0"/>
    <x v="108"/>
    <x v="2"/>
    <s v="Cheque"/>
    <x v="6"/>
    <s v="Productos horneados"/>
    <x v="6"/>
    <n v="80"/>
    <n v="10303.999999999998"/>
    <n v="1020.096"/>
  </r>
  <r>
    <n v="1377"/>
    <x v="138"/>
    <n v="29"/>
    <s v="Empresa CC"/>
    <x v="3"/>
    <x v="3"/>
    <x v="1"/>
    <x v="111"/>
    <x v="0"/>
    <s v="Cheque"/>
    <x v="7"/>
    <s v="Dulces"/>
    <x v="7"/>
    <n v="47"/>
    <n v="8389.5"/>
    <n v="830.56050000000005"/>
  </r>
  <r>
    <n v="1378"/>
    <x v="139"/>
    <n v="3"/>
    <s v="Empresa C"/>
    <x v="4"/>
    <x v="0"/>
    <x v="2"/>
    <x v="112"/>
    <x v="0"/>
    <s v="Efectivo"/>
    <x v="8"/>
    <s v="Sopas"/>
    <x v="8"/>
    <n v="96"/>
    <n v="12969.599999999999"/>
    <n v="1322.8992000000003"/>
  </r>
  <r>
    <n v="1379"/>
    <x v="140"/>
    <n v="6"/>
    <s v="Empresa F"/>
    <x v="5"/>
    <x v="4"/>
    <x v="3"/>
    <x v="113"/>
    <x v="0"/>
    <s v="Tarjeta de crédito"/>
    <x v="9"/>
    <s v="Salsas"/>
    <x v="9"/>
    <n v="32"/>
    <n v="17920"/>
    <n v="1881.6000000000001"/>
  </r>
  <r>
    <n v="1380"/>
    <x v="141"/>
    <n v="28"/>
    <s v="Empresa BB"/>
    <x v="6"/>
    <x v="5"/>
    <x v="0"/>
    <x v="114"/>
    <x v="2"/>
    <s v="Cheque"/>
    <x v="5"/>
    <s v="Bebidas"/>
    <x v="5"/>
    <n v="16"/>
    <n v="10304"/>
    <n v="1030.4000000000001"/>
  </r>
  <r>
    <n v="1381"/>
    <x v="137"/>
    <n v="8"/>
    <s v="Empresa H"/>
    <x v="2"/>
    <x v="2"/>
    <x v="1"/>
    <x v="110"/>
    <x v="2"/>
    <s v="Cheque"/>
    <x v="7"/>
    <s v="Dulces"/>
    <x v="7"/>
    <n v="41"/>
    <n v="7318.5"/>
    <n v="717.21299999999997"/>
  </r>
  <r>
    <n v="1382"/>
    <x v="142"/>
    <n v="10"/>
    <s v="Empresa J"/>
    <x v="7"/>
    <x v="6"/>
    <x v="2"/>
    <x v="115"/>
    <x v="0"/>
    <s v="Tarjeta de crédito"/>
    <x v="10"/>
    <s v="Bebidas"/>
    <x v="10"/>
    <n v="41"/>
    <n v="1716.26"/>
    <n v="180.20730000000003"/>
  </r>
  <r>
    <n v="1383"/>
    <x v="143"/>
    <n v="7"/>
    <s v="Empresa G"/>
    <x v="8"/>
    <x v="2"/>
    <x v="3"/>
    <x v="9"/>
    <x v="3"/>
    <m/>
    <x v="5"/>
    <s v="Bebidas"/>
    <x v="5"/>
    <n v="41"/>
    <n v="26404"/>
    <n v="2719.6120000000005"/>
  </r>
  <r>
    <n v="1384"/>
    <x v="142"/>
    <n v="10"/>
    <s v="Empresa J"/>
    <x v="7"/>
    <x v="6"/>
    <x v="0"/>
    <x v="115"/>
    <x v="1"/>
    <m/>
    <x v="11"/>
    <s v="Mermeladas y jaleas"/>
    <x v="11"/>
    <n v="94"/>
    <n v="32900"/>
    <n v="3290"/>
  </r>
  <r>
    <n v="1385"/>
    <x v="142"/>
    <n v="10"/>
    <s v="Empresa J"/>
    <x v="7"/>
    <x v="6"/>
    <x v="1"/>
    <x v="115"/>
    <x v="1"/>
    <m/>
    <x v="12"/>
    <s v="Condimentos"/>
    <x v="12"/>
    <n v="20"/>
    <n v="6160"/>
    <n v="646.80000000000007"/>
  </r>
  <r>
    <n v="1386"/>
    <x v="142"/>
    <n v="10"/>
    <s v="Empresa J"/>
    <x v="7"/>
    <x v="6"/>
    <x v="2"/>
    <x v="115"/>
    <x v="1"/>
    <m/>
    <x v="6"/>
    <s v="Productos horneados"/>
    <x v="6"/>
    <n v="13"/>
    <n v="1674.3999999999999"/>
    <n v="174.13760000000002"/>
  </r>
  <r>
    <n v="1387"/>
    <x v="144"/>
    <n v="11"/>
    <s v="Empresa K"/>
    <x v="9"/>
    <x v="5"/>
    <x v="3"/>
    <x v="9"/>
    <x v="2"/>
    <m/>
    <x v="1"/>
    <s v="Frutas secas"/>
    <x v="1"/>
    <n v="74"/>
    <n v="3626"/>
    <n v="377.10400000000004"/>
  </r>
  <r>
    <n v="1388"/>
    <x v="144"/>
    <n v="11"/>
    <s v="Empresa K"/>
    <x v="9"/>
    <x v="5"/>
    <x v="0"/>
    <x v="9"/>
    <x v="2"/>
    <m/>
    <x v="10"/>
    <s v="Bebidas"/>
    <x v="10"/>
    <n v="53"/>
    <n v="2218.58"/>
    <n v="224.07658000000004"/>
  </r>
  <r>
    <n v="1389"/>
    <x v="145"/>
    <n v="1"/>
    <s v="Empresa A"/>
    <x v="10"/>
    <x v="2"/>
    <x v="1"/>
    <x v="9"/>
    <x v="3"/>
    <m/>
    <x v="4"/>
    <s v="Bebidas"/>
    <x v="4"/>
    <n v="99"/>
    <n v="24948"/>
    <n v="2444.9040000000005"/>
  </r>
  <r>
    <n v="1390"/>
    <x v="145"/>
    <n v="1"/>
    <s v="Empresa A"/>
    <x v="10"/>
    <x v="2"/>
    <x v="2"/>
    <x v="9"/>
    <x v="3"/>
    <m/>
    <x v="5"/>
    <s v="Bebidas"/>
    <x v="5"/>
    <n v="89"/>
    <n v="57316"/>
    <n v="5445.02"/>
  </r>
  <r>
    <n v="1391"/>
    <x v="145"/>
    <n v="1"/>
    <s v="Empresa A"/>
    <x v="10"/>
    <x v="2"/>
    <x v="3"/>
    <x v="9"/>
    <x v="3"/>
    <m/>
    <x v="10"/>
    <s v="Bebidas"/>
    <x v="10"/>
    <n v="64"/>
    <n v="2679.04"/>
    <n v="273.26208000000003"/>
  </r>
  <r>
    <n v="1392"/>
    <x v="141"/>
    <n v="28"/>
    <s v="Empresa BB"/>
    <x v="6"/>
    <x v="5"/>
    <x v="0"/>
    <x v="114"/>
    <x v="2"/>
    <s v="Tarjeta de crédito"/>
    <x v="8"/>
    <s v="Sopas"/>
    <x v="8"/>
    <n v="98"/>
    <n v="13239.8"/>
    <n v="1350.4596000000001"/>
  </r>
  <r>
    <n v="1393"/>
    <x v="141"/>
    <n v="28"/>
    <s v="Empresa BB"/>
    <x v="6"/>
    <x v="5"/>
    <x v="1"/>
    <x v="114"/>
    <x v="2"/>
    <s v="Tarjeta de crédito"/>
    <x v="13"/>
    <s v="Carne "/>
    <x v="13"/>
    <n v="86"/>
    <n v="22153.599999999999"/>
    <n v="2171.0527999999999"/>
  </r>
  <r>
    <n v="1394"/>
    <x v="146"/>
    <n v="9"/>
    <s v="Empresa I"/>
    <x v="11"/>
    <x v="7"/>
    <x v="2"/>
    <x v="116"/>
    <x v="1"/>
    <s v="Cheque"/>
    <x v="14"/>
    <s v="Pasta"/>
    <x v="14"/>
    <n v="20"/>
    <n v="5460"/>
    <n v="573.30000000000007"/>
  </r>
  <r>
    <n v="1395"/>
    <x v="146"/>
    <n v="9"/>
    <s v="Empresa I"/>
    <x v="11"/>
    <x v="7"/>
    <x v="3"/>
    <x v="116"/>
    <x v="1"/>
    <s v="Cheque"/>
    <x v="15"/>
    <s v="Productos lácteos"/>
    <x v="15"/>
    <n v="69"/>
    <n v="33616.799999999996"/>
    <n v="3361.6800000000003"/>
  </r>
  <r>
    <n v="1396"/>
    <x v="140"/>
    <n v="6"/>
    <s v="Empresa F"/>
    <x v="5"/>
    <x v="4"/>
    <x v="0"/>
    <x v="113"/>
    <x v="0"/>
    <s v="Tarjeta de crédito"/>
    <x v="0"/>
    <s v="Bebidas"/>
    <x v="0"/>
    <n v="68"/>
    <n v="13328"/>
    <n v="1279.4879999999998"/>
  </r>
  <r>
    <n v="1397"/>
    <x v="137"/>
    <n v="8"/>
    <s v="Empresa H"/>
    <x v="2"/>
    <x v="2"/>
    <x v="1"/>
    <x v="110"/>
    <x v="0"/>
    <s v="Cheque"/>
    <x v="9"/>
    <s v="Salsas"/>
    <x v="9"/>
    <n v="52"/>
    <n v="29120"/>
    <n v="2853.76"/>
  </r>
  <r>
    <n v="1398"/>
    <x v="137"/>
    <n v="8"/>
    <s v="Empresa H"/>
    <x v="2"/>
    <x v="2"/>
    <x v="2"/>
    <x v="110"/>
    <x v="0"/>
    <s v="Cheque"/>
    <x v="6"/>
    <s v="Productos horneados"/>
    <x v="6"/>
    <n v="40"/>
    <n v="5151.9999999999991"/>
    <n v="540.96000000000015"/>
  </r>
  <r>
    <n v="1399"/>
    <x v="147"/>
    <n v="25"/>
    <s v="Empresa Y"/>
    <x v="7"/>
    <x v="6"/>
    <x v="3"/>
    <x v="117"/>
    <x v="1"/>
    <s v="Efectivo"/>
    <x v="21"/>
    <s v="Productos horneados"/>
    <x v="16"/>
    <n v="100"/>
    <n v="14000"/>
    <n v="1372"/>
  </r>
  <r>
    <n v="1400"/>
    <x v="148"/>
    <n v="26"/>
    <s v="Empresa Z"/>
    <x v="9"/>
    <x v="5"/>
    <x v="0"/>
    <x v="118"/>
    <x v="2"/>
    <s v="Tarjeta de crédito"/>
    <x v="22"/>
    <s v="Aceite"/>
    <x v="20"/>
    <n v="88"/>
    <n v="26303.200000000004"/>
    <n v="2577.7136000000005"/>
  </r>
  <r>
    <n v="1401"/>
    <x v="148"/>
    <n v="26"/>
    <s v="Empresa Z"/>
    <x v="9"/>
    <x v="5"/>
    <x v="1"/>
    <x v="118"/>
    <x v="2"/>
    <s v="Tarjeta de crédito"/>
    <x v="8"/>
    <s v="Sopas"/>
    <x v="8"/>
    <n v="46"/>
    <n v="6214.5999999999995"/>
    <n v="596.60160000000008"/>
  </r>
  <r>
    <n v="1402"/>
    <x v="148"/>
    <n v="26"/>
    <s v="Empresa Z"/>
    <x v="9"/>
    <x v="5"/>
    <x v="2"/>
    <x v="118"/>
    <x v="2"/>
    <s v="Tarjeta de crédito"/>
    <x v="13"/>
    <s v="Carne "/>
    <x v="13"/>
    <n v="93"/>
    <n v="23956.799999999996"/>
    <n v="2347.7664"/>
  </r>
  <r>
    <n v="1403"/>
    <x v="138"/>
    <n v="29"/>
    <s v="Empresa CC"/>
    <x v="3"/>
    <x v="3"/>
    <x v="3"/>
    <x v="111"/>
    <x v="0"/>
    <s v="Cheque"/>
    <x v="0"/>
    <s v="Bebidas"/>
    <x v="0"/>
    <n v="96"/>
    <n v="18816"/>
    <n v="1975.68"/>
  </r>
  <r>
    <n v="1404"/>
    <x v="140"/>
    <n v="6"/>
    <s v="Empresa F"/>
    <x v="5"/>
    <x v="4"/>
    <x v="0"/>
    <x v="113"/>
    <x v="2"/>
    <s v="Cheque"/>
    <x v="7"/>
    <s v="Dulces"/>
    <x v="7"/>
    <n v="12"/>
    <n v="2142"/>
    <n v="224.91000000000003"/>
  </r>
  <r>
    <n v="1406"/>
    <x v="135"/>
    <n v="4"/>
    <s v="Empresa D"/>
    <x v="1"/>
    <x v="1"/>
    <x v="1"/>
    <x v="108"/>
    <x v="1"/>
    <s v="Tarjeta de crédito"/>
    <x v="23"/>
    <s v="Mermeladas y jaleas"/>
    <x v="21"/>
    <n v="38"/>
    <n v="43092"/>
    <n v="4093.7400000000002"/>
  </r>
  <r>
    <n v="1407"/>
    <x v="135"/>
    <n v="4"/>
    <s v="Empresa D"/>
    <x v="1"/>
    <x v="1"/>
    <x v="2"/>
    <x v="108"/>
    <x v="1"/>
    <s v="Tarjeta de crédito"/>
    <x v="24"/>
    <s v="Grano"/>
    <x v="22"/>
    <n v="42"/>
    <n v="4116"/>
    <n v="407.48400000000004"/>
  </r>
  <r>
    <n v="1409"/>
    <x v="137"/>
    <n v="8"/>
    <s v="Empresa H"/>
    <x v="2"/>
    <x v="2"/>
    <x v="3"/>
    <x v="110"/>
    <x v="2"/>
    <s v="Tarjeta de crédito"/>
    <x v="15"/>
    <s v="Productos lácteos"/>
    <x v="15"/>
    <n v="100"/>
    <n v="48719.999999999993"/>
    <n v="4823.28"/>
  </r>
  <r>
    <n v="1412"/>
    <x v="139"/>
    <n v="3"/>
    <s v="Empresa C"/>
    <x v="4"/>
    <x v="0"/>
    <x v="0"/>
    <x v="112"/>
    <x v="0"/>
    <s v="Efectivo"/>
    <x v="16"/>
    <s v="Condimentos"/>
    <x v="16"/>
    <n v="89"/>
    <n v="12460"/>
    <n v="1221.08"/>
  </r>
  <r>
    <n v="1413"/>
    <x v="139"/>
    <n v="3"/>
    <s v="Empresa C"/>
    <x v="4"/>
    <x v="0"/>
    <x v="1"/>
    <x v="112"/>
    <x v="0"/>
    <s v="Efectivo"/>
    <x v="9"/>
    <s v="Salsas"/>
    <x v="9"/>
    <n v="12"/>
    <n v="6720"/>
    <n v="651.84"/>
  </r>
  <r>
    <n v="1417"/>
    <x v="142"/>
    <n v="10"/>
    <s v="Empresa J"/>
    <x v="7"/>
    <x v="6"/>
    <x v="2"/>
    <x v="115"/>
    <x v="0"/>
    <s v="Tarjeta de crédito"/>
    <x v="18"/>
    <s v="Frutas secas"/>
    <x v="16"/>
    <n v="97"/>
    <n v="13580"/>
    <n v="1412.3200000000002"/>
  </r>
  <r>
    <n v="1419"/>
    <x v="142"/>
    <n v="10"/>
    <s v="Empresa J"/>
    <x v="7"/>
    <x v="6"/>
    <x v="3"/>
    <x v="9"/>
    <x v="1"/>
    <m/>
    <x v="1"/>
    <s v="Frutas secas"/>
    <x v="1"/>
    <n v="53"/>
    <n v="2597"/>
    <n v="246.71499999999997"/>
  </r>
  <r>
    <n v="1420"/>
    <x v="144"/>
    <n v="11"/>
    <s v="Empresa K"/>
    <x v="9"/>
    <x v="5"/>
    <x v="0"/>
    <x v="9"/>
    <x v="2"/>
    <m/>
    <x v="9"/>
    <s v="Salsas"/>
    <x v="9"/>
    <n v="61"/>
    <n v="34160"/>
    <n v="3484.3199999999997"/>
  </r>
  <r>
    <n v="1421"/>
    <x v="145"/>
    <n v="1"/>
    <s v="Empresa A"/>
    <x v="10"/>
    <x v="2"/>
    <x v="1"/>
    <x v="9"/>
    <x v="2"/>
    <m/>
    <x v="13"/>
    <s v="Carne "/>
    <x v="13"/>
    <n v="45"/>
    <n v="11591.999999999998"/>
    <n v="1136.0159999999998"/>
  </r>
  <r>
    <n v="1422"/>
    <x v="141"/>
    <n v="28"/>
    <s v="Empresa BB"/>
    <x v="6"/>
    <x v="5"/>
    <x v="2"/>
    <x v="114"/>
    <x v="2"/>
    <s v="Tarjeta de crédito"/>
    <x v="5"/>
    <s v="Bebidas"/>
    <x v="5"/>
    <n v="43"/>
    <n v="27692"/>
    <n v="2769.2000000000003"/>
  </r>
  <r>
    <n v="1423"/>
    <x v="146"/>
    <n v="9"/>
    <s v="Empresa I"/>
    <x v="11"/>
    <x v="7"/>
    <x v="3"/>
    <x v="116"/>
    <x v="1"/>
    <s v="Cheque"/>
    <x v="8"/>
    <s v="Sopas"/>
    <x v="8"/>
    <n v="18"/>
    <n v="2431.7999999999997"/>
    <n v="231.02100000000002"/>
  </r>
  <r>
    <n v="1424"/>
    <x v="140"/>
    <n v="6"/>
    <s v="Empresa F"/>
    <x v="5"/>
    <x v="4"/>
    <x v="0"/>
    <x v="113"/>
    <x v="0"/>
    <s v="Tarjeta de crédito"/>
    <x v="7"/>
    <s v="Dulces"/>
    <x v="7"/>
    <n v="41"/>
    <n v="7318.5"/>
    <n v="709.89450000000011"/>
  </r>
  <r>
    <n v="1425"/>
    <x v="137"/>
    <n v="8"/>
    <s v="Empresa H"/>
    <x v="2"/>
    <x v="2"/>
    <x v="1"/>
    <x v="110"/>
    <x v="0"/>
    <s v="Cheque"/>
    <x v="7"/>
    <s v="Dulces"/>
    <x v="7"/>
    <n v="19"/>
    <n v="3391.5"/>
    <n v="335.75850000000003"/>
  </r>
  <r>
    <n v="1426"/>
    <x v="147"/>
    <n v="25"/>
    <s v="Empresa Y"/>
    <x v="7"/>
    <x v="6"/>
    <x v="2"/>
    <x v="117"/>
    <x v="1"/>
    <s v="Efectivo"/>
    <x v="12"/>
    <s v="Condimentos"/>
    <x v="12"/>
    <n v="65"/>
    <n v="20020"/>
    <n v="1941.94"/>
  </r>
  <r>
    <n v="1427"/>
    <x v="148"/>
    <n v="26"/>
    <s v="Empresa Z"/>
    <x v="9"/>
    <x v="5"/>
    <x v="3"/>
    <x v="118"/>
    <x v="2"/>
    <s v="Tarjeta de crédito"/>
    <x v="11"/>
    <s v="Mermeladas y jaleas"/>
    <x v="11"/>
    <n v="13"/>
    <n v="4550"/>
    <n v="450.44999999999993"/>
  </r>
  <r>
    <n v="1428"/>
    <x v="138"/>
    <n v="29"/>
    <s v="Empresa CC"/>
    <x v="3"/>
    <x v="3"/>
    <x v="0"/>
    <x v="111"/>
    <x v="0"/>
    <s v="Cheque"/>
    <x v="19"/>
    <s v="Frutas y vegetales"/>
    <x v="18"/>
    <n v="54"/>
    <n v="29484"/>
    <n v="3007.3680000000004"/>
  </r>
  <r>
    <n v="1429"/>
    <x v="140"/>
    <n v="6"/>
    <s v="Empresa F"/>
    <x v="5"/>
    <x v="4"/>
    <x v="1"/>
    <x v="113"/>
    <x v="2"/>
    <s v="Cheque"/>
    <x v="2"/>
    <s v="Frutas secas"/>
    <x v="2"/>
    <n v="33"/>
    <n v="13860"/>
    <n v="1330.56"/>
  </r>
  <r>
    <n v="1430"/>
    <x v="140"/>
    <n v="6"/>
    <s v="Empresa F"/>
    <x v="5"/>
    <x v="4"/>
    <x v="2"/>
    <x v="113"/>
    <x v="2"/>
    <s v="Cheque"/>
    <x v="3"/>
    <s v="Frutas secas"/>
    <x v="3"/>
    <n v="34"/>
    <n v="25228"/>
    <n v="2598.4840000000004"/>
  </r>
  <r>
    <n v="1431"/>
    <x v="135"/>
    <n v="4"/>
    <s v="Empresa D"/>
    <x v="1"/>
    <x v="1"/>
    <x v="3"/>
    <x v="9"/>
    <x v="3"/>
    <m/>
    <x v="20"/>
    <s v="Pasta"/>
    <x v="19"/>
    <n v="59"/>
    <n v="31388"/>
    <n v="3170.1880000000001"/>
  </r>
  <r>
    <n v="1432"/>
    <x v="139"/>
    <n v="3"/>
    <s v="Empresa C"/>
    <x v="4"/>
    <x v="0"/>
    <x v="0"/>
    <x v="9"/>
    <x v="3"/>
    <m/>
    <x v="10"/>
    <s v="Bebidas"/>
    <x v="10"/>
    <n v="24"/>
    <n v="1004.64"/>
    <n v="99.45936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12FF57-D678-4DBE-8864-D3163745FCD2}" name="TablaDinámica3"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4">
  <location ref="G34:H39" firstHeaderRow="1" firstDataRow="1" firstDataCol="1"/>
  <pivotFields count="17">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items count="13">
        <item x="4"/>
        <item x="8"/>
        <item x="9"/>
        <item x="6"/>
        <item x="11"/>
        <item x="7"/>
        <item x="10"/>
        <item x="0"/>
        <item x="2"/>
        <item x="3"/>
        <item x="1"/>
        <item x="5"/>
        <item t="default"/>
      </items>
    </pivotField>
    <pivotField showAll="0">
      <items count="9">
        <item x="2"/>
        <item x="7"/>
        <item x="3"/>
        <item x="4"/>
        <item x="6"/>
        <item x="5"/>
        <item x="1"/>
        <item x="0"/>
        <item t="default"/>
      </items>
    </pivotField>
    <pivotField showAll="0">
      <items count="5">
        <item x="2"/>
        <item x="0"/>
        <item x="3"/>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0"/>
        <item x="2"/>
        <item x="3"/>
        <item t="default"/>
      </items>
    </pivotField>
    <pivotField showAll="0"/>
    <pivotField showAll="0"/>
    <pivotField showAll="0"/>
    <pivotField showAll="0">
      <items count="24">
        <item x="10"/>
        <item x="1"/>
        <item x="22"/>
        <item x="6"/>
        <item x="8"/>
        <item x="16"/>
        <item x="7"/>
        <item x="0"/>
        <item x="4"/>
        <item x="13"/>
        <item x="14"/>
        <item x="20"/>
        <item x="12"/>
        <item x="11"/>
        <item x="2"/>
        <item x="15"/>
        <item x="19"/>
        <item x="18"/>
        <item x="9"/>
        <item x="5"/>
        <item x="3"/>
        <item x="21"/>
        <item x="17"/>
        <item t="default"/>
      </items>
    </pivotField>
    <pivotField showAll="0"/>
    <pivotField dataField="1" showAll="0"/>
    <pivotField numFmtId="166"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a de Ingresos" fld="14" baseField="4"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E70C8F-8142-4E22-8AD4-479E65B51AEF}" name="TablaDinámica2"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7">
  <location ref="D5:E53" firstHeaderRow="1" firstDataRow="1" firstDataCol="1"/>
  <pivotFields count="17">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items count="13">
        <item x="4"/>
        <item x="8"/>
        <item x="9"/>
        <item x="6"/>
        <item x="11"/>
        <item x="7"/>
        <item x="10"/>
        <item x="0"/>
        <item x="2"/>
        <item x="3"/>
        <item x="1"/>
        <item x="5"/>
        <item t="default"/>
      </items>
    </pivotField>
    <pivotField showAll="0">
      <items count="9">
        <item x="2"/>
        <item x="7"/>
        <item x="3"/>
        <item x="4"/>
        <item x="6"/>
        <item x="5"/>
        <item x="1"/>
        <item x="0"/>
        <item t="default"/>
      </items>
    </pivotField>
    <pivotField showAll="0">
      <items count="5">
        <item x="2"/>
        <item x="0"/>
        <item x="3"/>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0"/>
        <item x="2"/>
        <item x="3"/>
        <item t="default"/>
      </items>
    </pivotField>
    <pivotField showAll="0"/>
    <pivotField axis="axisRow" showAll="0">
      <items count="26">
        <item x="22"/>
        <item x="8"/>
        <item x="18"/>
        <item x="24"/>
        <item x="21"/>
        <item x="5"/>
        <item x="13"/>
        <item x="0"/>
        <item x="7"/>
        <item x="1"/>
        <item x="19"/>
        <item x="12"/>
        <item x="6"/>
        <item x="16"/>
        <item x="3"/>
        <item x="11"/>
        <item x="23"/>
        <item x="15"/>
        <item x="20"/>
        <item x="2"/>
        <item x="14"/>
        <item x="9"/>
        <item x="4"/>
        <item x="10"/>
        <item x="17"/>
        <item t="default"/>
      </items>
    </pivotField>
    <pivotField showAll="0"/>
    <pivotField showAll="0"/>
    <pivotField showAll="0"/>
    <pivotField dataField="1"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8"/>
    <field x="10"/>
  </rowFields>
  <rowItems count="48">
    <i>
      <x/>
    </i>
    <i r="1">
      <x v="1"/>
    </i>
    <i r="1">
      <x v="3"/>
    </i>
    <i r="1">
      <x v="4"/>
    </i>
    <i r="1">
      <x v="9"/>
    </i>
    <i r="1">
      <x v="11"/>
    </i>
    <i r="1">
      <x v="12"/>
    </i>
    <i r="1">
      <x v="14"/>
    </i>
    <i r="1">
      <x v="15"/>
    </i>
    <i r="1">
      <x v="16"/>
    </i>
    <i r="1">
      <x v="17"/>
    </i>
    <i r="1">
      <x v="19"/>
    </i>
    <i r="1">
      <x v="20"/>
    </i>
    <i>
      <x v="1"/>
    </i>
    <i r="1">
      <x v="1"/>
    </i>
    <i r="1">
      <x v="2"/>
    </i>
    <i r="1">
      <x v="5"/>
    </i>
    <i r="1">
      <x v="7"/>
    </i>
    <i r="1">
      <x v="8"/>
    </i>
    <i r="1">
      <x v="9"/>
    </i>
    <i r="1">
      <x v="10"/>
    </i>
    <i r="1">
      <x v="12"/>
    </i>
    <i r="1">
      <x v="13"/>
    </i>
    <i r="1">
      <x v="21"/>
    </i>
    <i r="1">
      <x v="22"/>
    </i>
    <i r="1">
      <x v="23"/>
    </i>
    <i r="1">
      <x v="24"/>
    </i>
    <i>
      <x v="2"/>
    </i>
    <i r="1">
      <x/>
    </i>
    <i r="1">
      <x v="1"/>
    </i>
    <i r="1">
      <x v="5"/>
    </i>
    <i r="1">
      <x v="6"/>
    </i>
    <i r="1">
      <x v="8"/>
    </i>
    <i r="1">
      <x v="9"/>
    </i>
    <i r="1">
      <x v="12"/>
    </i>
    <i r="1">
      <x v="14"/>
    </i>
    <i r="1">
      <x v="15"/>
    </i>
    <i r="1">
      <x v="17"/>
    </i>
    <i r="1">
      <x v="19"/>
    </i>
    <i r="1">
      <x v="21"/>
    </i>
    <i r="1">
      <x v="23"/>
    </i>
    <i r="1">
      <x v="24"/>
    </i>
    <i>
      <x v="3"/>
    </i>
    <i r="1">
      <x v="5"/>
    </i>
    <i r="1">
      <x v="18"/>
    </i>
    <i r="1">
      <x v="22"/>
    </i>
    <i r="1">
      <x v="23"/>
    </i>
    <i t="grand">
      <x/>
    </i>
  </rowItems>
  <colItems count="1">
    <i/>
  </colItems>
  <dataFields count="1">
    <dataField name="Suma de Ingresos" fld="14" baseField="10" baseItem="12" numFmtId="166"/>
  </dataFields>
  <chartFormats count="2">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4FA607-1E71-4A3B-BB36-EEBC41EDC38D}" name="TablaDinámica1"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3">
  <location ref="G18:H31" firstHeaderRow="1" firstDataRow="1" firstDataCol="1"/>
  <pivotFields count="17">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axis="axisRow" showAll="0">
      <items count="13">
        <item x="4"/>
        <item x="8"/>
        <item x="9"/>
        <item x="6"/>
        <item x="11"/>
        <item x="7"/>
        <item x="10"/>
        <item x="0"/>
        <item x="2"/>
        <item x="3"/>
        <item x="1"/>
        <item x="5"/>
        <item t="default"/>
      </items>
    </pivotField>
    <pivotField showAll="0">
      <items count="9">
        <item x="2"/>
        <item x="7"/>
        <item x="3"/>
        <item x="4"/>
        <item x="6"/>
        <item x="5"/>
        <item x="1"/>
        <item x="0"/>
        <item t="default"/>
      </items>
    </pivotField>
    <pivotField showAll="0">
      <items count="5">
        <item x="2"/>
        <item x="0"/>
        <item x="3"/>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0"/>
        <item x="2"/>
        <item x="3"/>
        <item t="default"/>
      </items>
    </pivotField>
    <pivotField showAll="0"/>
    <pivotField showAll="0"/>
    <pivotField showAll="0"/>
    <pivotField showAll="0"/>
    <pivotField showAll="0"/>
    <pivotField dataField="1" showAll="0"/>
    <pivotField numFmtId="166" showAll="0"/>
    <pivotField showAll="0">
      <items count="15">
        <item x="0"/>
        <item x="1"/>
        <item x="2"/>
        <item x="3"/>
        <item x="4"/>
        <item x="5"/>
        <item x="6"/>
        <item x="7"/>
        <item x="8"/>
        <item x="9"/>
        <item x="10"/>
        <item x="11"/>
        <item x="12"/>
        <item x="1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a de Ingresos" fld="14" baseField="4"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7FF7CF-E1AA-415F-8273-B15095654BBB}" name="TablaDinámica6"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6">
  <location ref="J18:K32" firstHeaderRow="1" firstDataRow="1" firstDataCol="1"/>
  <pivotFields count="17">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items count="13">
        <item x="4"/>
        <item x="8"/>
        <item x="9"/>
        <item x="6"/>
        <item x="11"/>
        <item x="7"/>
        <item x="10"/>
        <item x="0"/>
        <item x="2"/>
        <item x="3"/>
        <item x="1"/>
        <item x="5"/>
        <item t="default"/>
      </items>
    </pivotField>
    <pivotField showAll="0">
      <items count="9">
        <item x="2"/>
        <item x="7"/>
        <item x="3"/>
        <item x="4"/>
        <item x="6"/>
        <item x="5"/>
        <item x="1"/>
        <item x="0"/>
        <item t="default"/>
      </items>
    </pivotField>
    <pivotField showAll="0">
      <items count="5">
        <item x="2"/>
        <item x="0"/>
        <item x="3"/>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0"/>
        <item x="2"/>
        <item x="3"/>
        <item t="default"/>
      </items>
    </pivotField>
    <pivotField showAll="0"/>
    <pivotField showAll="0"/>
    <pivotField showAll="0"/>
    <pivotField showAll="0"/>
    <pivotField showAll="0"/>
    <pivotField dataField="1" showAll="0"/>
    <pivotField numFmtId="166" showAll="0"/>
    <pivotField axis="axisRow" showAll="0">
      <items count="15">
        <item x="0"/>
        <item x="1"/>
        <item x="2"/>
        <item x="3"/>
        <item x="4"/>
        <item x="5"/>
        <item x="6"/>
        <item x="7"/>
        <item x="8"/>
        <item x="9"/>
        <item x="10"/>
        <item x="11"/>
        <item x="12"/>
        <item x="13"/>
        <item t="default"/>
      </items>
    </pivotField>
  </pivotFields>
  <rowFields count="1">
    <field x="16"/>
  </rowFields>
  <rowItems count="14">
    <i>
      <x/>
    </i>
    <i>
      <x v="1"/>
    </i>
    <i>
      <x v="2"/>
    </i>
    <i>
      <x v="3"/>
    </i>
    <i>
      <x v="4"/>
    </i>
    <i>
      <x v="5"/>
    </i>
    <i>
      <x v="6"/>
    </i>
    <i>
      <x v="7"/>
    </i>
    <i>
      <x v="8"/>
    </i>
    <i>
      <x v="9"/>
    </i>
    <i>
      <x v="10"/>
    </i>
    <i>
      <x v="11"/>
    </i>
    <i>
      <x v="12"/>
    </i>
    <i t="grand">
      <x/>
    </i>
  </rowItems>
  <colItems count="1">
    <i/>
  </colItems>
  <dataFields count="1">
    <dataField name="Suma de Ingresos" fld="14" baseField="4" baseItem="0" numFmtId="166"/>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264F80-8944-461D-AF7A-2D8A1EE7295D}" name="TablaDinámica4"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3">
  <location ref="G5:L15" firstHeaderRow="1" firstDataRow="2" firstDataCol="1"/>
  <pivotFields count="17">
    <pivotField showAll="0"/>
    <pivotField numFmtId="1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items count="13">
        <item x="4"/>
        <item x="8"/>
        <item x="9"/>
        <item x="6"/>
        <item x="11"/>
        <item x="7"/>
        <item x="10"/>
        <item x="0"/>
        <item x="2"/>
        <item x="3"/>
        <item x="1"/>
        <item x="5"/>
        <item t="default"/>
      </items>
    </pivotField>
    <pivotField axis="axisRow" showAll="0">
      <items count="9">
        <item x="2"/>
        <item x="7"/>
        <item x="3"/>
        <item x="4"/>
        <item x="6"/>
        <item x="5"/>
        <item x="1"/>
        <item x="0"/>
        <item t="default"/>
      </items>
    </pivotField>
    <pivotField axis="axisCol" showAll="0">
      <items count="5">
        <item x="2"/>
        <item x="0"/>
        <item x="3"/>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0"/>
        <item x="2"/>
        <item x="3"/>
        <item t="default"/>
      </items>
    </pivotField>
    <pivotField showAll="0"/>
    <pivotField showAll="0"/>
    <pivotField showAll="0"/>
    <pivotField showAll="0"/>
    <pivotField showAll="0"/>
    <pivotField dataField="1" showAll="0"/>
    <pivotField numFmtId="166" showAll="0"/>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Fields count="1">
    <field x="6"/>
  </colFields>
  <colItems count="5">
    <i>
      <x/>
    </i>
    <i>
      <x v="1"/>
    </i>
    <i>
      <x v="2"/>
    </i>
    <i>
      <x v="3"/>
    </i>
    <i t="grand">
      <x/>
    </i>
  </colItems>
  <dataFields count="1">
    <dataField name="Suma de Ingresos" fld="14" baseField="4" baseItem="0" numFmtId="166"/>
  </dataFields>
  <chartFormats count="5">
    <chartFormat chart="2" format="8" series="1">
      <pivotArea type="data" outline="0" fieldPosition="0">
        <references count="2">
          <reference field="4294967294" count="1" selected="0">
            <x v="0"/>
          </reference>
          <reference field="6" count="1" selected="0">
            <x v="0"/>
          </reference>
        </references>
      </pivotArea>
    </chartFormat>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Vendedor" xr10:uid="{2F800F94-87D6-4431-B327-D571FE4E3A3F}" sourceName="Vendedor">
  <pivotTables>
    <pivotTable tabId="7" name="TablaDinámica4"/>
    <pivotTable tabId="7" name="TablaDinámica1"/>
    <pivotTable tabId="7" name="TablaDinámica2"/>
    <pivotTable tabId="7" name="TablaDinámica3"/>
    <pivotTable tabId="7" name="TablaDinámica6"/>
  </pivotTables>
  <data>
    <tabular pivotCacheId="2083469203">
      <items count="8">
        <i x="2" s="1"/>
        <i x="7" s="1"/>
        <i x="3" s="1"/>
        <i x="4" s="1"/>
        <i x="6"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251C6101-5129-4EA3-844E-5C3AE26599A4}" sourceName="Region">
  <pivotTables>
    <pivotTable tabId="7" name="TablaDinámica4"/>
    <pivotTable tabId="7" name="TablaDinámica1"/>
    <pivotTable tabId="7" name="TablaDinámica2"/>
    <pivotTable tabId="7" name="TablaDinámica3"/>
    <pivotTable tabId="7" name="TablaDinámica6"/>
  </pivotTables>
  <data>
    <tabular pivotCacheId="208346920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mpresa_fletera" xr10:uid="{ED292349-7303-4F5A-9C1B-6D49FC9F5A3F}" sourceName="Empresa fletera">
  <pivotTables>
    <pivotTable tabId="7" name="TablaDinámica4"/>
    <pivotTable tabId="7" name="TablaDinámica1"/>
    <pivotTable tabId="7" name="TablaDinámica2"/>
    <pivotTable tabId="7" name="TablaDinámica3"/>
    <pivotTable tabId="7" name="TablaDinámica6"/>
  </pivotTables>
  <data>
    <tabular pivotCacheId="2083469203">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vincia" xr10:uid="{4B2C8BCA-9A7F-486D-B656-A1DA7090C68B}" sourceName="provincia">
  <pivotTables>
    <pivotTable tabId="7" name="TablaDinámica4"/>
    <pivotTable tabId="7" name="TablaDinámica1"/>
    <pivotTable tabId="7" name="TablaDinámica2"/>
    <pivotTable tabId="7" name="TablaDinámica3"/>
    <pivotTable tabId="7" name="TablaDinámica6"/>
  </pivotTables>
  <data>
    <tabular pivotCacheId="2083469203">
      <items count="12">
        <i x="4" s="1"/>
        <i x="8" s="1"/>
        <i x="9" s="1"/>
        <i x="6" s="1"/>
        <i x="11" s="1"/>
        <i x="7" s="1"/>
        <i x="10" s="1"/>
        <i x="0" s="1"/>
        <i x="2"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edor" xr10:uid="{98BFD6B9-985C-4DE7-98C0-9563A3E9CC07}" cache="SegmentaciónDeDatos_Vendedor" caption="Vendedor" rowHeight="241300"/>
  <slicer name="Region" xr10:uid="{17BD6140-D092-4EC2-8CFB-CE16FF6B67F4}" cache="SegmentaciónDeDatos_Region" caption="Region" rowHeight="241300"/>
  <slicer name="Empresa fletera" xr10:uid="{C20B94EC-4014-4287-8FE6-2CDB5436C046}" cache="SegmentaciónDeDatos_Empresa_fletera" caption="Empresa fletera" rowHeight="241300"/>
  <slicer name="provincia" xr10:uid="{2F68E4CF-6D96-4732-BDA9-4064C304ED9A}" cache="SegmentaciónDeDatos_provincia" caption="provincia" startItem="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19181D-CDC7-4C2C-A522-24A1C186C0C4}" name="Table1" displayName="Table1" ref="A1:P370" totalsRowShown="0" headerRowDxfId="11">
  <autoFilter ref="A1:P370" xr:uid="{B7736C08-2A13-4B24-9AF2-065612C6039F}"/>
  <tableColumns count="16">
    <tableColumn id="1" xr3:uid="{707EFAC6-02D4-4187-8213-435A8DA50C38}" name="N orden" dataDxfId="10"/>
    <tableColumn id="15" xr3:uid="{444E10FB-5652-4FA3-8BAD-E34504DFBE52}" name="Fecha de orden" dataDxfId="9"/>
    <tableColumn id="3" xr3:uid="{8B3E3F9B-ED30-4DAB-B45A-4189D8D918BD}" name="Num. cliente" dataDxfId="8"/>
    <tableColumn id="4" xr3:uid="{9CEEA55B-33C2-48E9-9B19-3F044D936B4C}" name="Nombre cliente"/>
    <tableColumn id="2" xr3:uid="{E8BEAD1C-1596-4B4A-8B4E-F076A35BD580}" name="provincia" dataDxfId="7"/>
    <tableColumn id="6" xr3:uid="{E01F6956-A6F4-46E6-B61F-D65DD04A161B}" name="Vendedor" dataDxfId="6"/>
    <tableColumn id="11" xr3:uid="{B01CAB65-4096-459D-9F92-B76A12C58979}" name="Region"/>
    <tableColumn id="14" xr3:uid="{F3EB6AA9-FBE0-4022-96DF-CDB53B995FF6}" name="Fecha de embarque" dataDxfId="5"/>
    <tableColumn id="13" xr3:uid="{E63B6C43-2189-4FA0-92DA-7220DCAD9635}" name="Empresa fletera"/>
    <tableColumn id="20" xr3:uid="{A5F070D0-D4A2-41DE-AF05-B2B9CC249F23}" name="Forma de pago"/>
    <tableColumn id="9" xr3:uid="{C3E5D528-B0BF-4D6E-9C1C-9A918068B86A}" name="Producto" dataDxfId="4"/>
    <tableColumn id="10" xr3:uid="{010D6130-1408-4908-A57C-AC23129A1223}" name="Categoría" dataDxfId="3"/>
    <tableColumn id="23" xr3:uid="{10FC7643-8C87-43C6-A179-16B317FDCD4F}" name="Precio unitario" dataDxfId="2"/>
    <tableColumn id="24" xr3:uid="{B06602E8-0703-4E7B-ABC0-0086BF6E04C2}" name="Cantidad"/>
    <tableColumn id="25" xr3:uid="{00DA07E8-E32F-489A-AF0A-94C8E2FA71BA}" name="Ingresos" dataDxfId="1" dataCellStyle="Currency 2">
      <calculatedColumnFormula>Table1[[#This Row],[Precio unitario]]*Table1[[#This Row],[Cantidad]]</calculatedColumnFormula>
    </tableColumn>
    <tableColumn id="26" xr3:uid="{C49BDEE0-880C-4134-AA84-086B8AF4A1AC}" name="Tarifa de envío"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orden" xr10:uid="{AF64D2E6-4FC1-41B4-B543-34D9BEF2C18C}" sourceName="Fecha de orden">
  <pivotTables>
    <pivotTable tabId="7" name="TablaDinámica4"/>
    <pivotTable tabId="7" name="TablaDinámica1"/>
    <pivotTable tabId="7" name="TablaDinámica2"/>
    <pivotTable tabId="7" name="TablaDinámica3"/>
    <pivotTable tabId="7" name="TablaDinámica6"/>
  </pivotTables>
  <state minimalRefreshVersion="6" lastRefreshVersion="6" pivotCacheId="2083469203" filterType="unknown">
    <bounds startDate="2018-01-01T00:00:00" endDate="201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embarque" xr10:uid="{5F8DE443-951C-4BC2-B5C3-8C34F21C1216}" sourceName="Fecha de embarque">
  <pivotTables>
    <pivotTable tabId="7" name="TablaDinámica4"/>
    <pivotTable tabId="7" name="TablaDinámica1"/>
    <pivotTable tabId="7" name="TablaDinámica2"/>
    <pivotTable tabId="7" name="TablaDinámica3"/>
    <pivotTable tabId="7" name="TablaDinámica6"/>
  </pivotTables>
  <state minimalRefreshVersion="6" lastRefreshVersion="6" pivotCacheId="2083469203"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de orden" xr10:uid="{9DEB55E1-5443-4F08-9EA8-AF0683A1E064}" cache="NativeTimeline_Fecha_de_orden" caption="Fecha de orden" level="2" selectionLevel="2" scrollPosition="2018-05-28T00:00:00"/>
  <timeline name="Fecha de embarque" xr10:uid="{6B596F53-46AA-49E0-BEF3-A6A216E93EB7}" cache="NativeTimeline_Fecha_de_embarque" caption="Fecha de embarque" level="2" selectionLevel="2"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782C-13FA-4DB9-8214-1FB0ACDA5152}">
  <dimension ref="A1"/>
  <sheetViews>
    <sheetView showGridLines="0" workbookViewId="0"/>
  </sheetViews>
  <sheetFormatPr baseColWidth="10"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AC71D-4594-4BE5-BF58-588B21012FB0}">
  <dimension ref="A1:P370"/>
  <sheetViews>
    <sheetView showGridLines="0" topLeftCell="F1" zoomScale="85" zoomScaleNormal="85" workbookViewId="0"/>
  </sheetViews>
  <sheetFormatPr baseColWidth="10" defaultColWidth="10.81640625" defaultRowHeight="14.5" x14ac:dyDescent="0.35"/>
  <cols>
    <col min="1" max="1" width="9.54296875" customWidth="1"/>
    <col min="2" max="2" width="13" customWidth="1"/>
    <col min="3" max="3" width="9.7265625" customWidth="1"/>
    <col min="4" max="4" width="13.54296875" customWidth="1"/>
    <col min="5" max="5" width="12.1796875" customWidth="1"/>
    <col min="6" max="6" width="16.81640625" bestFit="1" customWidth="1"/>
    <col min="7" max="7" width="8.453125" customWidth="1"/>
    <col min="8" max="8" width="16.7265625" customWidth="1"/>
    <col min="9" max="9" width="22" customWidth="1"/>
    <col min="10" max="10" width="20.54296875" customWidth="1"/>
    <col min="11" max="11" width="22.81640625" bestFit="1" customWidth="1"/>
    <col min="12" max="12" width="21.81640625" style="2" bestFit="1" customWidth="1"/>
    <col min="13" max="13" width="14.7265625" style="2" customWidth="1"/>
    <col min="14" max="14" width="10.7265625" customWidth="1"/>
    <col min="15" max="15" width="14.1796875" customWidth="1"/>
    <col min="16" max="16" width="15.7265625" customWidth="1"/>
    <col min="17" max="17" width="15.81640625" bestFit="1" customWidth="1"/>
    <col min="20" max="20" width="15.81640625" bestFit="1" customWidth="1"/>
    <col min="23" max="23" width="22.54296875" bestFit="1" customWidth="1"/>
  </cols>
  <sheetData>
    <row r="1" spans="1:16" x14ac:dyDescent="0.35">
      <c r="A1" s="4" t="s">
        <v>68</v>
      </c>
      <c r="B1" s="4" t="s">
        <v>1</v>
      </c>
      <c r="C1" s="4" t="s">
        <v>2</v>
      </c>
      <c r="D1" s="5" t="s">
        <v>3</v>
      </c>
      <c r="E1" s="5" t="s">
        <v>81</v>
      </c>
      <c r="F1" s="5" t="s">
        <v>4</v>
      </c>
      <c r="G1" s="5" t="s">
        <v>5</v>
      </c>
      <c r="H1" s="6" t="s">
        <v>6</v>
      </c>
      <c r="I1" s="5" t="s">
        <v>7</v>
      </c>
      <c r="J1" s="5" t="s">
        <v>8</v>
      </c>
      <c r="K1" s="5" t="s">
        <v>96</v>
      </c>
      <c r="L1" s="5" t="s">
        <v>9</v>
      </c>
      <c r="M1" s="5" t="s">
        <v>10</v>
      </c>
      <c r="N1" s="5" t="s">
        <v>11</v>
      </c>
      <c r="O1" s="5" t="s">
        <v>12</v>
      </c>
      <c r="P1" s="5" t="s">
        <v>13</v>
      </c>
    </row>
    <row r="2" spans="1:16" x14ac:dyDescent="0.35">
      <c r="A2" s="7">
        <v>1001</v>
      </c>
      <c r="B2" s="12">
        <v>43127</v>
      </c>
      <c r="C2" s="7">
        <v>27</v>
      </c>
      <c r="D2" t="s">
        <v>14</v>
      </c>
      <c r="E2" t="s">
        <v>74</v>
      </c>
      <c r="F2" t="s">
        <v>87</v>
      </c>
      <c r="G2" t="s">
        <v>30</v>
      </c>
      <c r="H2" s="8">
        <v>43129</v>
      </c>
      <c r="I2" t="s">
        <v>15</v>
      </c>
      <c r="J2" t="s">
        <v>16</v>
      </c>
      <c r="K2" t="s">
        <v>17</v>
      </c>
      <c r="L2" t="s">
        <v>18</v>
      </c>
      <c r="M2" s="9">
        <v>196</v>
      </c>
      <c r="N2">
        <v>49</v>
      </c>
      <c r="O2" s="9">
        <f>Table1[[#This Row],[Precio unitario]]*Table1[[#This Row],[Cantidad]]</f>
        <v>9604</v>
      </c>
      <c r="P2" s="9">
        <v>931.58799999999997</v>
      </c>
    </row>
    <row r="3" spans="1:16" x14ac:dyDescent="0.35">
      <c r="A3" s="7">
        <v>1002</v>
      </c>
      <c r="B3" s="12">
        <v>43127</v>
      </c>
      <c r="C3" s="7">
        <v>27</v>
      </c>
      <c r="D3" t="s">
        <v>14</v>
      </c>
      <c r="E3" t="s">
        <v>74</v>
      </c>
      <c r="F3" t="s">
        <v>87</v>
      </c>
      <c r="G3" t="s">
        <v>90</v>
      </c>
      <c r="H3" s="8">
        <v>43129</v>
      </c>
      <c r="I3" t="s">
        <v>15</v>
      </c>
      <c r="J3" t="s">
        <v>16</v>
      </c>
      <c r="K3" t="s">
        <v>19</v>
      </c>
      <c r="L3" t="s">
        <v>20</v>
      </c>
      <c r="M3" s="9">
        <v>49</v>
      </c>
      <c r="N3">
        <v>47</v>
      </c>
      <c r="O3" s="10">
        <f>Table1[[#This Row],[Precio unitario]]*Table1[[#This Row],[Cantidad]]</f>
        <v>2303</v>
      </c>
      <c r="P3" s="9">
        <v>232.60300000000001</v>
      </c>
    </row>
    <row r="4" spans="1:16" x14ac:dyDescent="0.35">
      <c r="A4" s="7">
        <v>1003</v>
      </c>
      <c r="B4" s="12">
        <v>43104</v>
      </c>
      <c r="C4" s="7">
        <v>4</v>
      </c>
      <c r="D4" t="s">
        <v>21</v>
      </c>
      <c r="E4" t="s">
        <v>77</v>
      </c>
      <c r="F4" t="s">
        <v>83</v>
      </c>
      <c r="G4" t="s">
        <v>91</v>
      </c>
      <c r="H4" s="8">
        <v>43106</v>
      </c>
      <c r="I4" t="s">
        <v>22</v>
      </c>
      <c r="J4" t="s">
        <v>23</v>
      </c>
      <c r="K4" t="s">
        <v>24</v>
      </c>
      <c r="L4" t="s">
        <v>20</v>
      </c>
      <c r="M4" s="9">
        <v>420</v>
      </c>
      <c r="N4">
        <v>69</v>
      </c>
      <c r="O4" s="10">
        <f>Table1[[#This Row],[Precio unitario]]*Table1[[#This Row],[Cantidad]]</f>
        <v>28980</v>
      </c>
      <c r="P4" s="9">
        <v>2782.08</v>
      </c>
    </row>
    <row r="5" spans="1:16" x14ac:dyDescent="0.35">
      <c r="A5" s="7">
        <v>1004</v>
      </c>
      <c r="B5" s="12">
        <v>43104</v>
      </c>
      <c r="C5" s="7">
        <v>4</v>
      </c>
      <c r="D5" t="s">
        <v>21</v>
      </c>
      <c r="E5" t="s">
        <v>77</v>
      </c>
      <c r="F5" t="s">
        <v>83</v>
      </c>
      <c r="G5" t="s">
        <v>92</v>
      </c>
      <c r="H5" s="8">
        <v>43106</v>
      </c>
      <c r="I5" t="s">
        <v>22</v>
      </c>
      <c r="J5" t="s">
        <v>23</v>
      </c>
      <c r="K5" t="s">
        <v>25</v>
      </c>
      <c r="L5" t="s">
        <v>20</v>
      </c>
      <c r="M5" s="9">
        <v>742</v>
      </c>
      <c r="N5">
        <v>89</v>
      </c>
      <c r="O5" s="10">
        <f>Table1[[#This Row],[Precio unitario]]*Table1[[#This Row],[Cantidad]]</f>
        <v>66038</v>
      </c>
      <c r="P5" s="9">
        <v>6273.6100000000006</v>
      </c>
    </row>
    <row r="6" spans="1:16" x14ac:dyDescent="0.35">
      <c r="A6" s="7">
        <v>1005</v>
      </c>
      <c r="B6" s="12">
        <v>43104</v>
      </c>
      <c r="C6" s="7">
        <v>4</v>
      </c>
      <c r="D6" t="s">
        <v>21</v>
      </c>
      <c r="E6" t="s">
        <v>77</v>
      </c>
      <c r="F6" t="s">
        <v>83</v>
      </c>
      <c r="G6" t="s">
        <v>30</v>
      </c>
      <c r="H6" s="8">
        <v>43106</v>
      </c>
      <c r="I6" t="s">
        <v>22</v>
      </c>
      <c r="J6" t="s">
        <v>23</v>
      </c>
      <c r="K6" t="s">
        <v>19</v>
      </c>
      <c r="L6" t="s">
        <v>20</v>
      </c>
      <c r="M6" s="9">
        <v>49</v>
      </c>
      <c r="N6">
        <v>11</v>
      </c>
      <c r="O6" s="10">
        <f>Table1[[#This Row],[Precio unitario]]*Table1[[#This Row],[Cantidad]]</f>
        <v>539</v>
      </c>
      <c r="P6" s="9">
        <v>52.283000000000001</v>
      </c>
    </row>
    <row r="7" spans="1:16" x14ac:dyDescent="0.35">
      <c r="A7" s="7">
        <v>1006</v>
      </c>
      <c r="B7" s="12">
        <v>43112</v>
      </c>
      <c r="C7" s="7">
        <v>12</v>
      </c>
      <c r="D7" t="s">
        <v>26</v>
      </c>
      <c r="E7" t="s">
        <v>74</v>
      </c>
      <c r="F7" t="s">
        <v>87</v>
      </c>
      <c r="G7" t="s">
        <v>90</v>
      </c>
      <c r="H7" s="8">
        <v>43114</v>
      </c>
      <c r="I7" t="s">
        <v>15</v>
      </c>
      <c r="J7" t="s">
        <v>23</v>
      </c>
      <c r="K7" t="s">
        <v>27</v>
      </c>
      <c r="L7" t="s">
        <v>18</v>
      </c>
      <c r="M7" s="9">
        <v>252</v>
      </c>
      <c r="N7">
        <v>81</v>
      </c>
      <c r="O7" s="10">
        <f>Table1[[#This Row],[Precio unitario]]*Table1[[#This Row],[Cantidad]]</f>
        <v>20412</v>
      </c>
      <c r="P7" s="9">
        <v>1979.9640000000002</v>
      </c>
    </row>
    <row r="8" spans="1:16" x14ac:dyDescent="0.35">
      <c r="A8" s="7">
        <v>1007</v>
      </c>
      <c r="B8" s="12">
        <v>43112</v>
      </c>
      <c r="C8" s="7">
        <v>12</v>
      </c>
      <c r="D8" t="s">
        <v>26</v>
      </c>
      <c r="E8" t="s">
        <v>74</v>
      </c>
      <c r="F8" t="s">
        <v>87</v>
      </c>
      <c r="G8" t="s">
        <v>91</v>
      </c>
      <c r="H8" s="8">
        <v>43114</v>
      </c>
      <c r="I8" t="s">
        <v>15</v>
      </c>
      <c r="J8" t="s">
        <v>23</v>
      </c>
      <c r="K8" t="s">
        <v>28</v>
      </c>
      <c r="L8" t="s">
        <v>18</v>
      </c>
      <c r="M8" s="9">
        <v>644</v>
      </c>
      <c r="N8">
        <v>44</v>
      </c>
      <c r="O8" s="10">
        <f>Table1[[#This Row],[Precio unitario]]*Table1[[#This Row],[Cantidad]]</f>
        <v>28336</v>
      </c>
      <c r="P8" s="9">
        <v>2776.9279999999999</v>
      </c>
    </row>
    <row r="9" spans="1:16" x14ac:dyDescent="0.35">
      <c r="A9" s="7">
        <v>1008</v>
      </c>
      <c r="B9" s="12">
        <v>43108</v>
      </c>
      <c r="C9" s="7">
        <v>8</v>
      </c>
      <c r="D9" t="s">
        <v>29</v>
      </c>
      <c r="E9" t="s">
        <v>75</v>
      </c>
      <c r="F9" t="s">
        <v>88</v>
      </c>
      <c r="G9" t="s">
        <v>92</v>
      </c>
      <c r="H9" s="8">
        <v>43110</v>
      </c>
      <c r="I9" t="s">
        <v>31</v>
      </c>
      <c r="J9" t="s">
        <v>23</v>
      </c>
      <c r="K9" t="s">
        <v>32</v>
      </c>
      <c r="L9" t="s">
        <v>33</v>
      </c>
      <c r="M9" s="9">
        <v>128.79999999999998</v>
      </c>
      <c r="N9">
        <v>38</v>
      </c>
      <c r="O9" s="10">
        <f>Table1[[#This Row],[Precio unitario]]*Table1[[#This Row],[Cantidad]]</f>
        <v>4894.3999999999996</v>
      </c>
      <c r="P9" s="9">
        <v>504.1232</v>
      </c>
    </row>
    <row r="10" spans="1:16" x14ac:dyDescent="0.35">
      <c r="A10" s="7">
        <v>1009</v>
      </c>
      <c r="B10" s="12">
        <v>43104</v>
      </c>
      <c r="C10" s="7">
        <v>4</v>
      </c>
      <c r="D10" t="s">
        <v>21</v>
      </c>
      <c r="E10" t="s">
        <v>77</v>
      </c>
      <c r="F10" t="s">
        <v>83</v>
      </c>
      <c r="G10" t="s">
        <v>30</v>
      </c>
      <c r="H10" s="8">
        <v>43106</v>
      </c>
      <c r="I10" t="s">
        <v>31</v>
      </c>
      <c r="J10" t="s">
        <v>16</v>
      </c>
      <c r="K10" t="s">
        <v>32</v>
      </c>
      <c r="L10" t="s">
        <v>33</v>
      </c>
      <c r="M10" s="9">
        <v>128.79999999999998</v>
      </c>
      <c r="N10">
        <v>88</v>
      </c>
      <c r="O10" s="10">
        <f>Table1[[#This Row],[Precio unitario]]*Table1[[#This Row],[Cantidad]]</f>
        <v>11334.399999999998</v>
      </c>
      <c r="P10" s="9">
        <v>1110.7711999999999</v>
      </c>
    </row>
    <row r="11" spans="1:16" x14ac:dyDescent="0.35">
      <c r="A11" s="7">
        <v>1010</v>
      </c>
      <c r="B11" s="12">
        <v>43129</v>
      </c>
      <c r="C11" s="7">
        <v>29</v>
      </c>
      <c r="D11" t="s">
        <v>34</v>
      </c>
      <c r="E11" t="s">
        <v>76</v>
      </c>
      <c r="F11" t="s">
        <v>84</v>
      </c>
      <c r="G11" t="s">
        <v>90</v>
      </c>
      <c r="H11" s="8">
        <v>43131</v>
      </c>
      <c r="I11" t="s">
        <v>15</v>
      </c>
      <c r="J11" t="s">
        <v>16</v>
      </c>
      <c r="K11" t="s">
        <v>35</v>
      </c>
      <c r="L11" t="s">
        <v>36</v>
      </c>
      <c r="M11" s="9">
        <v>178.5</v>
      </c>
      <c r="N11">
        <v>94</v>
      </c>
      <c r="O11" s="10">
        <f>Table1[[#This Row],[Precio unitario]]*Table1[[#This Row],[Cantidad]]</f>
        <v>16779</v>
      </c>
      <c r="P11" s="9">
        <v>1711.4580000000001</v>
      </c>
    </row>
    <row r="12" spans="1:16" x14ac:dyDescent="0.35">
      <c r="A12" s="7">
        <v>1011</v>
      </c>
      <c r="B12" s="12">
        <v>43103</v>
      </c>
      <c r="C12" s="7">
        <v>3</v>
      </c>
      <c r="D12" t="s">
        <v>37</v>
      </c>
      <c r="E12" t="s">
        <v>69</v>
      </c>
      <c r="F12" t="s">
        <v>87</v>
      </c>
      <c r="G12" t="s">
        <v>91</v>
      </c>
      <c r="H12" s="8">
        <v>43105</v>
      </c>
      <c r="I12" t="s">
        <v>15</v>
      </c>
      <c r="J12" t="s">
        <v>38</v>
      </c>
      <c r="K12" t="s">
        <v>39</v>
      </c>
      <c r="L12" t="s">
        <v>40</v>
      </c>
      <c r="M12" s="9">
        <v>135.1</v>
      </c>
      <c r="N12">
        <v>91</v>
      </c>
      <c r="O12" s="10">
        <f>Table1[[#This Row],[Precio unitario]]*Table1[[#This Row],[Cantidad]]</f>
        <v>12294.1</v>
      </c>
      <c r="P12" s="9">
        <v>1290.8805</v>
      </c>
    </row>
    <row r="13" spans="1:16" x14ac:dyDescent="0.35">
      <c r="A13" s="7">
        <v>1012</v>
      </c>
      <c r="B13" s="12">
        <v>43106</v>
      </c>
      <c r="C13" s="7">
        <v>6</v>
      </c>
      <c r="D13" t="s">
        <v>41</v>
      </c>
      <c r="E13" t="s">
        <v>78</v>
      </c>
      <c r="F13" t="s">
        <v>86</v>
      </c>
      <c r="G13" t="s">
        <v>92</v>
      </c>
      <c r="H13" s="8">
        <v>43108</v>
      </c>
      <c r="I13" t="s">
        <v>15</v>
      </c>
      <c r="J13" t="s">
        <v>23</v>
      </c>
      <c r="K13" t="s">
        <v>42</v>
      </c>
      <c r="L13" t="s">
        <v>43</v>
      </c>
      <c r="M13" s="9">
        <v>560</v>
      </c>
      <c r="N13">
        <v>32</v>
      </c>
      <c r="O13" s="10">
        <f>Table1[[#This Row],[Precio unitario]]*Table1[[#This Row],[Cantidad]]</f>
        <v>17920</v>
      </c>
      <c r="P13" s="9">
        <v>1863.68</v>
      </c>
    </row>
    <row r="14" spans="1:16" x14ac:dyDescent="0.35">
      <c r="A14" s="7">
        <v>1013</v>
      </c>
      <c r="B14" s="12">
        <v>43128</v>
      </c>
      <c r="C14" s="7">
        <v>28</v>
      </c>
      <c r="D14" t="s">
        <v>44</v>
      </c>
      <c r="E14" t="s">
        <v>79</v>
      </c>
      <c r="F14" t="s">
        <v>82</v>
      </c>
      <c r="G14" t="s">
        <v>30</v>
      </c>
      <c r="H14" s="8">
        <v>43130</v>
      </c>
      <c r="I14" t="s">
        <v>31</v>
      </c>
      <c r="J14" t="s">
        <v>16</v>
      </c>
      <c r="K14" t="s">
        <v>28</v>
      </c>
      <c r="L14" t="s">
        <v>18</v>
      </c>
      <c r="M14" s="9">
        <v>644</v>
      </c>
      <c r="N14">
        <v>55</v>
      </c>
      <c r="O14" s="10">
        <f>Table1[[#This Row],[Precio unitario]]*Table1[[#This Row],[Cantidad]]</f>
        <v>35420</v>
      </c>
      <c r="P14" s="9">
        <v>3542</v>
      </c>
    </row>
    <row r="15" spans="1:16" x14ac:dyDescent="0.35">
      <c r="A15" s="7">
        <v>1014</v>
      </c>
      <c r="B15" s="12">
        <v>43108</v>
      </c>
      <c r="C15" s="7">
        <v>8</v>
      </c>
      <c r="D15" t="s">
        <v>29</v>
      </c>
      <c r="E15" t="s">
        <v>75</v>
      </c>
      <c r="F15" t="s">
        <v>88</v>
      </c>
      <c r="G15" t="s">
        <v>90</v>
      </c>
      <c r="H15" s="8">
        <v>43110</v>
      </c>
      <c r="I15" t="s">
        <v>31</v>
      </c>
      <c r="J15" t="s">
        <v>16</v>
      </c>
      <c r="K15" t="s">
        <v>35</v>
      </c>
      <c r="L15" t="s">
        <v>36</v>
      </c>
      <c r="M15" s="9">
        <v>178.5</v>
      </c>
      <c r="N15">
        <v>47</v>
      </c>
      <c r="O15" s="10">
        <f>Table1[[#This Row],[Precio unitario]]*Table1[[#This Row],[Cantidad]]</f>
        <v>8389.5</v>
      </c>
      <c r="P15" s="9">
        <v>864.11850000000004</v>
      </c>
    </row>
    <row r="16" spans="1:16" x14ac:dyDescent="0.35">
      <c r="A16" s="7">
        <v>1015</v>
      </c>
      <c r="B16" s="12">
        <v>43110</v>
      </c>
      <c r="C16" s="7">
        <v>10</v>
      </c>
      <c r="D16" t="s">
        <v>45</v>
      </c>
      <c r="E16" t="s">
        <v>73</v>
      </c>
      <c r="F16" t="s">
        <v>85</v>
      </c>
      <c r="G16" t="s">
        <v>91</v>
      </c>
      <c r="H16" s="8">
        <v>43112</v>
      </c>
      <c r="I16" t="s">
        <v>15</v>
      </c>
      <c r="J16" t="s">
        <v>23</v>
      </c>
      <c r="K16" t="s">
        <v>46</v>
      </c>
      <c r="L16" t="s">
        <v>18</v>
      </c>
      <c r="M16" s="9">
        <v>41.86</v>
      </c>
      <c r="N16">
        <v>90</v>
      </c>
      <c r="O16" s="10">
        <f>Table1[[#This Row],[Precio unitario]]*Table1[[#This Row],[Cantidad]]</f>
        <v>3767.4</v>
      </c>
      <c r="P16" s="9">
        <v>388.04220000000009</v>
      </c>
    </row>
    <row r="17" spans="1:16" x14ac:dyDescent="0.35">
      <c r="A17" s="7">
        <v>1016</v>
      </c>
      <c r="B17" s="12">
        <v>43107</v>
      </c>
      <c r="C17" s="7">
        <v>7</v>
      </c>
      <c r="D17" t="s">
        <v>47</v>
      </c>
      <c r="E17" t="s">
        <v>70</v>
      </c>
      <c r="F17" t="s">
        <v>88</v>
      </c>
      <c r="G17" t="s">
        <v>92</v>
      </c>
      <c r="H17" s="8"/>
      <c r="K17" t="s">
        <v>28</v>
      </c>
      <c r="L17" t="s">
        <v>18</v>
      </c>
      <c r="M17" s="9">
        <v>644</v>
      </c>
      <c r="N17">
        <v>24</v>
      </c>
      <c r="O17" s="10">
        <f>Table1[[#This Row],[Precio unitario]]*Table1[[#This Row],[Cantidad]]</f>
        <v>15456</v>
      </c>
      <c r="P17" s="9">
        <v>1545.6000000000001</v>
      </c>
    </row>
    <row r="18" spans="1:16" x14ac:dyDescent="0.35">
      <c r="A18" s="7">
        <v>1017</v>
      </c>
      <c r="B18" s="12">
        <v>43110</v>
      </c>
      <c r="C18" s="7">
        <v>10</v>
      </c>
      <c r="D18" t="s">
        <v>45</v>
      </c>
      <c r="E18" t="s">
        <v>73</v>
      </c>
      <c r="F18" t="s">
        <v>85</v>
      </c>
      <c r="G18" t="s">
        <v>30</v>
      </c>
      <c r="H18" s="8">
        <v>43112</v>
      </c>
      <c r="I18" t="s">
        <v>22</v>
      </c>
      <c r="K18" t="s">
        <v>93</v>
      </c>
      <c r="L18" t="s">
        <v>48</v>
      </c>
      <c r="M18" s="9">
        <v>350</v>
      </c>
      <c r="N18">
        <v>34</v>
      </c>
      <c r="O18" s="10">
        <f>Table1[[#This Row],[Precio unitario]]*Table1[[#This Row],[Cantidad]]</f>
        <v>11900</v>
      </c>
      <c r="P18" s="9">
        <v>1130.5</v>
      </c>
    </row>
    <row r="19" spans="1:16" x14ac:dyDescent="0.35">
      <c r="A19" s="7">
        <v>1018</v>
      </c>
      <c r="B19" s="12">
        <v>43110</v>
      </c>
      <c r="C19" s="7">
        <v>10</v>
      </c>
      <c r="D19" t="s">
        <v>45</v>
      </c>
      <c r="E19" t="s">
        <v>73</v>
      </c>
      <c r="F19" t="s">
        <v>85</v>
      </c>
      <c r="G19" t="s">
        <v>90</v>
      </c>
      <c r="H19" s="8">
        <v>43112</v>
      </c>
      <c r="I19" t="s">
        <v>22</v>
      </c>
      <c r="K19" t="s">
        <v>49</v>
      </c>
      <c r="L19" t="s">
        <v>49</v>
      </c>
      <c r="M19" s="9">
        <v>308</v>
      </c>
      <c r="N19">
        <v>17</v>
      </c>
      <c r="O19" s="10">
        <f>Table1[[#This Row],[Precio unitario]]*Table1[[#This Row],[Cantidad]]</f>
        <v>5236</v>
      </c>
      <c r="P19" s="9">
        <v>502.65599999999995</v>
      </c>
    </row>
    <row r="20" spans="1:16" x14ac:dyDescent="0.35">
      <c r="A20" s="7">
        <v>1019</v>
      </c>
      <c r="B20" s="12">
        <v>43110</v>
      </c>
      <c r="C20" s="7">
        <v>10</v>
      </c>
      <c r="D20" t="s">
        <v>45</v>
      </c>
      <c r="E20" t="s">
        <v>73</v>
      </c>
      <c r="F20" t="s">
        <v>85</v>
      </c>
      <c r="G20" t="s">
        <v>91</v>
      </c>
      <c r="H20" s="8">
        <v>43112</v>
      </c>
      <c r="I20" t="s">
        <v>22</v>
      </c>
      <c r="K20" t="s">
        <v>32</v>
      </c>
      <c r="L20" t="s">
        <v>33</v>
      </c>
      <c r="M20" s="9">
        <v>128.79999999999998</v>
      </c>
      <c r="N20">
        <v>44</v>
      </c>
      <c r="O20" s="10">
        <f>Table1[[#This Row],[Precio unitario]]*Table1[[#This Row],[Cantidad]]</f>
        <v>5667.1999999999989</v>
      </c>
      <c r="P20" s="9">
        <v>589.38879999999995</v>
      </c>
    </row>
    <row r="21" spans="1:16" x14ac:dyDescent="0.35">
      <c r="A21" s="7">
        <v>1020</v>
      </c>
      <c r="B21" s="12">
        <v>43111</v>
      </c>
      <c r="C21" s="7">
        <v>11</v>
      </c>
      <c r="D21" t="s">
        <v>50</v>
      </c>
      <c r="E21" t="s">
        <v>71</v>
      </c>
      <c r="F21" t="s">
        <v>82</v>
      </c>
      <c r="G21" t="s">
        <v>92</v>
      </c>
      <c r="H21" s="8"/>
      <c r="I21" t="s">
        <v>31</v>
      </c>
      <c r="K21" t="s">
        <v>19</v>
      </c>
      <c r="L21" t="s">
        <v>20</v>
      </c>
      <c r="M21" s="9">
        <v>49</v>
      </c>
      <c r="N21">
        <v>81</v>
      </c>
      <c r="O21" s="10">
        <f>Table1[[#This Row],[Precio unitario]]*Table1[[#This Row],[Cantidad]]</f>
        <v>3969</v>
      </c>
      <c r="P21" s="9">
        <v>384.99299999999999</v>
      </c>
    </row>
    <row r="22" spans="1:16" x14ac:dyDescent="0.35">
      <c r="A22" s="7">
        <v>1021</v>
      </c>
      <c r="B22" s="12">
        <v>43111</v>
      </c>
      <c r="C22" s="7">
        <v>11</v>
      </c>
      <c r="D22" t="s">
        <v>50</v>
      </c>
      <c r="E22" t="s">
        <v>71</v>
      </c>
      <c r="F22" t="s">
        <v>82</v>
      </c>
      <c r="G22" t="s">
        <v>30</v>
      </c>
      <c r="H22" s="8"/>
      <c r="I22" t="s">
        <v>31</v>
      </c>
      <c r="K22" t="s">
        <v>46</v>
      </c>
      <c r="L22" t="s">
        <v>18</v>
      </c>
      <c r="M22" s="9">
        <v>41.86</v>
      </c>
      <c r="N22">
        <v>49</v>
      </c>
      <c r="O22" s="10">
        <f>Table1[[#This Row],[Precio unitario]]*Table1[[#This Row],[Cantidad]]</f>
        <v>2051.14</v>
      </c>
      <c r="P22" s="9">
        <v>211.26742000000007</v>
      </c>
    </row>
    <row r="23" spans="1:16" x14ac:dyDescent="0.35">
      <c r="A23" s="7">
        <v>1022</v>
      </c>
      <c r="B23" s="12">
        <v>43101</v>
      </c>
      <c r="C23" s="7">
        <v>1</v>
      </c>
      <c r="D23" t="s">
        <v>51</v>
      </c>
      <c r="E23" t="s">
        <v>80</v>
      </c>
      <c r="F23" t="s">
        <v>88</v>
      </c>
      <c r="G23" t="s">
        <v>90</v>
      </c>
      <c r="H23" s="8"/>
      <c r="K23" t="s">
        <v>27</v>
      </c>
      <c r="L23" t="s">
        <v>18</v>
      </c>
      <c r="M23" s="9">
        <v>252</v>
      </c>
      <c r="N23">
        <v>42</v>
      </c>
      <c r="O23" s="10">
        <f>Table1[[#This Row],[Precio unitario]]*Table1[[#This Row],[Cantidad]]</f>
        <v>10584</v>
      </c>
      <c r="P23" s="9">
        <v>1058.4000000000001</v>
      </c>
    </row>
    <row r="24" spans="1:16" x14ac:dyDescent="0.35">
      <c r="A24" s="7">
        <v>1023</v>
      </c>
      <c r="B24" s="12">
        <v>43101</v>
      </c>
      <c r="C24" s="7">
        <v>1</v>
      </c>
      <c r="D24" t="s">
        <v>51</v>
      </c>
      <c r="E24" t="s">
        <v>80</v>
      </c>
      <c r="F24" t="s">
        <v>88</v>
      </c>
      <c r="G24" t="s">
        <v>91</v>
      </c>
      <c r="H24" s="8"/>
      <c r="K24" t="s">
        <v>28</v>
      </c>
      <c r="L24" t="s">
        <v>18</v>
      </c>
      <c r="M24" s="9">
        <v>644</v>
      </c>
      <c r="N24">
        <v>58</v>
      </c>
      <c r="O24" s="10">
        <f>Table1[[#This Row],[Precio unitario]]*Table1[[#This Row],[Cantidad]]</f>
        <v>37352</v>
      </c>
      <c r="P24" s="9">
        <v>3772.5520000000001</v>
      </c>
    </row>
    <row r="25" spans="1:16" x14ac:dyDescent="0.35">
      <c r="A25" s="7">
        <v>1024</v>
      </c>
      <c r="B25" s="12">
        <v>43101</v>
      </c>
      <c r="C25" s="7">
        <v>1</v>
      </c>
      <c r="D25" t="s">
        <v>51</v>
      </c>
      <c r="E25" t="s">
        <v>80</v>
      </c>
      <c r="F25" t="s">
        <v>88</v>
      </c>
      <c r="G25" t="s">
        <v>92</v>
      </c>
      <c r="H25" s="8"/>
      <c r="K25" t="s">
        <v>46</v>
      </c>
      <c r="L25" t="s">
        <v>18</v>
      </c>
      <c r="M25" s="9">
        <v>41.86</v>
      </c>
      <c r="N25">
        <v>67</v>
      </c>
      <c r="O25" s="10">
        <f>Table1[[#This Row],[Precio unitario]]*Table1[[#This Row],[Cantidad]]</f>
        <v>2804.62</v>
      </c>
      <c r="P25" s="9">
        <v>280.46199999999999</v>
      </c>
    </row>
    <row r="26" spans="1:16" x14ac:dyDescent="0.35">
      <c r="A26" s="7">
        <v>1025</v>
      </c>
      <c r="B26" s="12">
        <v>43128</v>
      </c>
      <c r="C26" s="7">
        <v>28</v>
      </c>
      <c r="D26" t="s">
        <v>44</v>
      </c>
      <c r="E26" t="s">
        <v>79</v>
      </c>
      <c r="F26" t="s">
        <v>82</v>
      </c>
      <c r="G26" t="s">
        <v>30</v>
      </c>
      <c r="H26" s="8">
        <v>43130</v>
      </c>
      <c r="I26" t="s">
        <v>31</v>
      </c>
      <c r="J26" t="s">
        <v>23</v>
      </c>
      <c r="K26" t="s">
        <v>39</v>
      </c>
      <c r="L26" t="s">
        <v>40</v>
      </c>
      <c r="M26" s="9">
        <v>135.1</v>
      </c>
      <c r="N26">
        <v>100</v>
      </c>
      <c r="O26" s="10">
        <f>Table1[[#This Row],[Precio unitario]]*Table1[[#This Row],[Cantidad]]</f>
        <v>13510</v>
      </c>
      <c r="P26" s="9">
        <v>1310.47</v>
      </c>
    </row>
    <row r="27" spans="1:16" x14ac:dyDescent="0.35">
      <c r="A27" s="7">
        <v>1026</v>
      </c>
      <c r="B27" s="12">
        <v>43128</v>
      </c>
      <c r="C27" s="7">
        <v>28</v>
      </c>
      <c r="D27" t="s">
        <v>44</v>
      </c>
      <c r="E27" t="s">
        <v>79</v>
      </c>
      <c r="F27" t="s">
        <v>82</v>
      </c>
      <c r="G27" t="s">
        <v>90</v>
      </c>
      <c r="H27" s="8">
        <v>43130</v>
      </c>
      <c r="I27" t="s">
        <v>31</v>
      </c>
      <c r="J27" t="s">
        <v>23</v>
      </c>
      <c r="K27" t="s">
        <v>52</v>
      </c>
      <c r="L27" t="s">
        <v>97</v>
      </c>
      <c r="M27" s="9">
        <v>257.59999999999997</v>
      </c>
      <c r="N27">
        <v>63</v>
      </c>
      <c r="O27" s="10">
        <f>Table1[[#This Row],[Precio unitario]]*Table1[[#This Row],[Cantidad]]</f>
        <v>16228.799999999997</v>
      </c>
      <c r="P27" s="9">
        <v>1606.6511999999998</v>
      </c>
    </row>
    <row r="28" spans="1:16" x14ac:dyDescent="0.35">
      <c r="A28" s="7">
        <v>1027</v>
      </c>
      <c r="B28" s="12">
        <v>43109</v>
      </c>
      <c r="C28" s="7">
        <v>9</v>
      </c>
      <c r="D28" t="s">
        <v>53</v>
      </c>
      <c r="E28" t="s">
        <v>72</v>
      </c>
      <c r="F28" t="s">
        <v>89</v>
      </c>
      <c r="G28" t="s">
        <v>91</v>
      </c>
      <c r="H28" s="8">
        <v>43111</v>
      </c>
      <c r="I28" t="s">
        <v>22</v>
      </c>
      <c r="J28" t="s">
        <v>16</v>
      </c>
      <c r="K28" t="s">
        <v>54</v>
      </c>
      <c r="L28" t="s">
        <v>55</v>
      </c>
      <c r="M28" s="9">
        <v>273</v>
      </c>
      <c r="N28">
        <v>57</v>
      </c>
      <c r="O28" s="10">
        <f>Table1[[#This Row],[Precio unitario]]*Table1[[#This Row],[Cantidad]]</f>
        <v>15561</v>
      </c>
      <c r="P28" s="9">
        <v>1540.539</v>
      </c>
    </row>
    <row r="29" spans="1:16" x14ac:dyDescent="0.35">
      <c r="A29" s="7">
        <v>1028</v>
      </c>
      <c r="B29" s="12">
        <v>43109</v>
      </c>
      <c r="C29" s="7">
        <v>9</v>
      </c>
      <c r="D29" t="s">
        <v>53</v>
      </c>
      <c r="E29" t="s">
        <v>72</v>
      </c>
      <c r="F29" t="s">
        <v>89</v>
      </c>
      <c r="G29" t="s">
        <v>92</v>
      </c>
      <c r="H29" s="8">
        <v>43111</v>
      </c>
      <c r="I29" t="s">
        <v>22</v>
      </c>
      <c r="J29" t="s">
        <v>16</v>
      </c>
      <c r="K29" t="s">
        <v>56</v>
      </c>
      <c r="L29" t="s">
        <v>57</v>
      </c>
      <c r="M29" s="9">
        <v>487.19999999999993</v>
      </c>
      <c r="N29">
        <v>81</v>
      </c>
      <c r="O29" s="10">
        <f>Table1[[#This Row],[Precio unitario]]*Table1[[#This Row],[Cantidad]]</f>
        <v>39463.199999999997</v>
      </c>
      <c r="P29" s="9">
        <v>4143.6359999999995</v>
      </c>
    </row>
    <row r="30" spans="1:16" x14ac:dyDescent="0.35">
      <c r="A30" s="7">
        <v>1029</v>
      </c>
      <c r="B30" s="12">
        <v>43106</v>
      </c>
      <c r="C30" s="7">
        <v>6</v>
      </c>
      <c r="D30" t="s">
        <v>41</v>
      </c>
      <c r="E30" t="s">
        <v>78</v>
      </c>
      <c r="F30" t="s">
        <v>86</v>
      </c>
      <c r="G30" t="s">
        <v>30</v>
      </c>
      <c r="H30" s="8">
        <v>43108</v>
      </c>
      <c r="I30" t="s">
        <v>15</v>
      </c>
      <c r="J30" t="s">
        <v>23</v>
      </c>
      <c r="K30" t="s">
        <v>17</v>
      </c>
      <c r="L30" t="s">
        <v>18</v>
      </c>
      <c r="M30" s="9">
        <v>196</v>
      </c>
      <c r="N30">
        <v>71</v>
      </c>
      <c r="O30" s="10">
        <f>Table1[[#This Row],[Precio unitario]]*Table1[[#This Row],[Cantidad]]</f>
        <v>13916</v>
      </c>
      <c r="P30" s="9">
        <v>1335.9360000000001</v>
      </c>
    </row>
    <row r="31" spans="1:16" x14ac:dyDescent="0.35">
      <c r="A31" s="7">
        <v>1030</v>
      </c>
      <c r="B31" s="12">
        <v>43139</v>
      </c>
      <c r="C31" s="7">
        <v>8</v>
      </c>
      <c r="D31" t="s">
        <v>29</v>
      </c>
      <c r="E31" t="s">
        <v>75</v>
      </c>
      <c r="F31" t="s">
        <v>88</v>
      </c>
      <c r="G31" t="s">
        <v>90</v>
      </c>
      <c r="H31" s="8">
        <v>43141</v>
      </c>
      <c r="I31" t="s">
        <v>15</v>
      </c>
      <c r="J31" t="s">
        <v>16</v>
      </c>
      <c r="K31" t="s">
        <v>42</v>
      </c>
      <c r="L31" t="s">
        <v>43</v>
      </c>
      <c r="M31" s="9">
        <v>560</v>
      </c>
      <c r="N31">
        <v>32</v>
      </c>
      <c r="O31" s="10">
        <f>Table1[[#This Row],[Precio unitario]]*Table1[[#This Row],[Cantidad]]</f>
        <v>17920</v>
      </c>
      <c r="P31" s="9">
        <v>1809.92</v>
      </c>
    </row>
    <row r="32" spans="1:16" x14ac:dyDescent="0.35">
      <c r="A32" s="7">
        <v>1031</v>
      </c>
      <c r="B32" s="12">
        <v>43134</v>
      </c>
      <c r="C32" s="7">
        <v>3</v>
      </c>
      <c r="D32" t="s">
        <v>37</v>
      </c>
      <c r="E32" t="s">
        <v>69</v>
      </c>
      <c r="F32" t="s">
        <v>87</v>
      </c>
      <c r="G32" t="s">
        <v>91</v>
      </c>
      <c r="H32" s="8">
        <v>43136</v>
      </c>
      <c r="I32" t="s">
        <v>15</v>
      </c>
      <c r="J32" t="s">
        <v>38</v>
      </c>
      <c r="K32" t="s">
        <v>95</v>
      </c>
      <c r="L32" t="s">
        <v>49</v>
      </c>
      <c r="M32" s="9">
        <v>140</v>
      </c>
      <c r="N32">
        <v>63</v>
      </c>
      <c r="O32" s="10">
        <f>Table1[[#This Row],[Precio unitario]]*Table1[[#This Row],[Cantidad]]</f>
        <v>8820</v>
      </c>
      <c r="P32" s="9">
        <v>917.28</v>
      </c>
    </row>
    <row r="33" spans="1:16" x14ac:dyDescent="0.35">
      <c r="A33" s="7">
        <v>1032</v>
      </c>
      <c r="B33" s="12">
        <v>43134</v>
      </c>
      <c r="C33" s="7">
        <v>3</v>
      </c>
      <c r="D33" t="s">
        <v>37</v>
      </c>
      <c r="E33" t="s">
        <v>69</v>
      </c>
      <c r="F33" t="s">
        <v>87</v>
      </c>
      <c r="G33" t="s">
        <v>92</v>
      </c>
      <c r="H33" s="8">
        <v>43136</v>
      </c>
      <c r="I33" t="s">
        <v>15</v>
      </c>
      <c r="J33" t="s">
        <v>38</v>
      </c>
      <c r="K33" t="s">
        <v>42</v>
      </c>
      <c r="L33" t="s">
        <v>43</v>
      </c>
      <c r="M33" s="9">
        <v>560</v>
      </c>
      <c r="N33">
        <v>30</v>
      </c>
      <c r="O33" s="10">
        <f>Table1[[#This Row],[Precio unitario]]*Table1[[#This Row],[Cantidad]]</f>
        <v>16800</v>
      </c>
      <c r="P33" s="9">
        <v>1680</v>
      </c>
    </row>
    <row r="34" spans="1:16" x14ac:dyDescent="0.35">
      <c r="A34" s="7">
        <v>1033</v>
      </c>
      <c r="B34" s="12">
        <v>43137</v>
      </c>
      <c r="C34" s="7">
        <v>6</v>
      </c>
      <c r="D34" t="s">
        <v>41</v>
      </c>
      <c r="E34" t="s">
        <v>78</v>
      </c>
      <c r="F34" t="s">
        <v>86</v>
      </c>
      <c r="G34" t="s">
        <v>30</v>
      </c>
      <c r="H34" s="8">
        <v>43139</v>
      </c>
      <c r="I34" t="s">
        <v>15</v>
      </c>
      <c r="J34" t="s">
        <v>23</v>
      </c>
      <c r="L34" t="s">
        <v>13</v>
      </c>
      <c r="M34" s="9"/>
      <c r="O34" s="10"/>
      <c r="P34" s="9">
        <v>602</v>
      </c>
    </row>
    <row r="35" spans="1:16" x14ac:dyDescent="0.35">
      <c r="A35" s="7">
        <v>1034</v>
      </c>
      <c r="B35" s="12">
        <v>43159</v>
      </c>
      <c r="C35" s="7">
        <v>28</v>
      </c>
      <c r="D35" t="s">
        <v>44</v>
      </c>
      <c r="E35" t="s">
        <v>79</v>
      </c>
      <c r="F35" t="s">
        <v>82</v>
      </c>
      <c r="G35" t="s">
        <v>90</v>
      </c>
      <c r="H35" s="8">
        <v>43161</v>
      </c>
      <c r="I35" t="s">
        <v>31</v>
      </c>
      <c r="J35" t="s">
        <v>16</v>
      </c>
      <c r="L35" t="s">
        <v>13</v>
      </c>
      <c r="M35" s="9"/>
      <c r="O35" s="10"/>
      <c r="P35" s="9">
        <v>434</v>
      </c>
    </row>
    <row r="36" spans="1:16" x14ac:dyDescent="0.35">
      <c r="A36" s="7">
        <v>1035</v>
      </c>
      <c r="B36" s="12">
        <v>43139</v>
      </c>
      <c r="C36" s="7">
        <v>8</v>
      </c>
      <c r="D36" t="s">
        <v>29</v>
      </c>
      <c r="E36" t="s">
        <v>75</v>
      </c>
      <c r="F36" t="s">
        <v>88</v>
      </c>
      <c r="G36" t="s">
        <v>91</v>
      </c>
      <c r="H36" s="8">
        <v>43141</v>
      </c>
      <c r="I36" t="s">
        <v>31</v>
      </c>
      <c r="J36" t="s">
        <v>16</v>
      </c>
      <c r="L36" t="s">
        <v>13</v>
      </c>
      <c r="M36" s="9"/>
      <c r="O36" s="10"/>
      <c r="P36" s="9">
        <v>644</v>
      </c>
    </row>
    <row r="37" spans="1:16" x14ac:dyDescent="0.35">
      <c r="A37" s="7">
        <v>1036</v>
      </c>
      <c r="B37" s="12">
        <v>43141</v>
      </c>
      <c r="C37" s="7">
        <v>10</v>
      </c>
      <c r="D37" t="s">
        <v>45</v>
      </c>
      <c r="E37" t="s">
        <v>73</v>
      </c>
      <c r="F37" t="s">
        <v>85</v>
      </c>
      <c r="G37" t="s">
        <v>92</v>
      </c>
      <c r="H37" s="8">
        <v>43143</v>
      </c>
      <c r="I37" t="s">
        <v>15</v>
      </c>
      <c r="J37" t="s">
        <v>23</v>
      </c>
      <c r="K37" t="s">
        <v>58</v>
      </c>
      <c r="L37" t="s">
        <v>20</v>
      </c>
      <c r="M37" s="9">
        <v>140</v>
      </c>
      <c r="N37">
        <v>47</v>
      </c>
      <c r="O37" s="10">
        <f>Table1[[#This Row],[Precio unitario]]*Table1[[#This Row],[Cantidad]]</f>
        <v>6580</v>
      </c>
      <c r="P37" s="9">
        <v>684.32</v>
      </c>
    </row>
    <row r="38" spans="1:16" x14ac:dyDescent="0.35">
      <c r="A38" s="7">
        <v>1038</v>
      </c>
      <c r="B38" s="12">
        <v>43141</v>
      </c>
      <c r="C38" s="7">
        <v>10</v>
      </c>
      <c r="D38" t="s">
        <v>45</v>
      </c>
      <c r="E38" t="s">
        <v>73</v>
      </c>
      <c r="F38" t="s">
        <v>85</v>
      </c>
      <c r="G38" t="s">
        <v>30</v>
      </c>
      <c r="H38" s="8"/>
      <c r="I38" t="s">
        <v>22</v>
      </c>
      <c r="K38" t="s">
        <v>19</v>
      </c>
      <c r="L38" t="s">
        <v>20</v>
      </c>
      <c r="M38" s="9">
        <v>49</v>
      </c>
      <c r="N38">
        <v>49</v>
      </c>
      <c r="O38" s="10">
        <f>Table1[[#This Row],[Precio unitario]]*Table1[[#This Row],[Cantidad]]</f>
        <v>2401</v>
      </c>
      <c r="P38" s="9">
        <v>230.49600000000004</v>
      </c>
    </row>
    <row r="39" spans="1:16" x14ac:dyDescent="0.35">
      <c r="A39" s="7">
        <v>1039</v>
      </c>
      <c r="B39" s="12">
        <v>43142</v>
      </c>
      <c r="C39" s="7">
        <v>11</v>
      </c>
      <c r="D39" t="s">
        <v>50</v>
      </c>
      <c r="E39" t="s">
        <v>71</v>
      </c>
      <c r="F39" t="s">
        <v>82</v>
      </c>
      <c r="G39" t="s">
        <v>90</v>
      </c>
      <c r="H39" s="8"/>
      <c r="I39" t="s">
        <v>31</v>
      </c>
      <c r="K39" t="s">
        <v>42</v>
      </c>
      <c r="L39" t="s">
        <v>43</v>
      </c>
      <c r="M39" s="9">
        <v>560</v>
      </c>
      <c r="N39">
        <v>72</v>
      </c>
      <c r="O39" s="10">
        <f>Table1[[#This Row],[Precio unitario]]*Table1[[#This Row],[Cantidad]]</f>
        <v>40320</v>
      </c>
      <c r="P39" s="9">
        <v>3991.6800000000003</v>
      </c>
    </row>
    <row r="40" spans="1:16" x14ac:dyDescent="0.35">
      <c r="A40" s="7">
        <v>1040</v>
      </c>
      <c r="B40" s="12">
        <v>43132</v>
      </c>
      <c r="C40" s="7">
        <v>1</v>
      </c>
      <c r="D40" t="s">
        <v>51</v>
      </c>
      <c r="E40" t="s">
        <v>80</v>
      </c>
      <c r="F40" t="s">
        <v>88</v>
      </c>
      <c r="G40" t="s">
        <v>91</v>
      </c>
      <c r="H40" s="8"/>
      <c r="I40" t="s">
        <v>31</v>
      </c>
      <c r="K40" t="s">
        <v>52</v>
      </c>
      <c r="L40" t="s">
        <v>97</v>
      </c>
      <c r="M40" s="9">
        <v>257.59999999999997</v>
      </c>
      <c r="N40">
        <v>13</v>
      </c>
      <c r="O40" s="10">
        <f>Table1[[#This Row],[Precio unitario]]*Table1[[#This Row],[Cantidad]]</f>
        <v>3348.7999999999997</v>
      </c>
      <c r="P40" s="9">
        <v>331.53120000000001</v>
      </c>
    </row>
    <row r="41" spans="1:16" x14ac:dyDescent="0.35">
      <c r="A41" s="7">
        <v>1041</v>
      </c>
      <c r="B41" s="12">
        <v>43159</v>
      </c>
      <c r="C41" s="7">
        <v>28</v>
      </c>
      <c r="D41" t="s">
        <v>44</v>
      </c>
      <c r="E41" t="s">
        <v>79</v>
      </c>
      <c r="F41" t="s">
        <v>82</v>
      </c>
      <c r="G41" t="s">
        <v>92</v>
      </c>
      <c r="H41" s="8">
        <v>43161</v>
      </c>
      <c r="I41" t="s">
        <v>31</v>
      </c>
      <c r="J41" t="s">
        <v>23</v>
      </c>
      <c r="K41" t="s">
        <v>28</v>
      </c>
      <c r="L41" t="s">
        <v>18</v>
      </c>
      <c r="M41" s="9">
        <v>644</v>
      </c>
      <c r="N41">
        <v>32</v>
      </c>
      <c r="O41" s="10">
        <f>Table1[[#This Row],[Precio unitario]]*Table1[[#This Row],[Cantidad]]</f>
        <v>20608</v>
      </c>
      <c r="P41" s="9">
        <v>2081.4080000000004</v>
      </c>
    </row>
    <row r="42" spans="1:16" x14ac:dyDescent="0.35">
      <c r="A42" s="7">
        <v>1042</v>
      </c>
      <c r="B42" s="12">
        <v>43140</v>
      </c>
      <c r="C42" s="7">
        <v>9</v>
      </c>
      <c r="D42" t="s">
        <v>53</v>
      </c>
      <c r="E42" t="s">
        <v>72</v>
      </c>
      <c r="F42" t="s">
        <v>89</v>
      </c>
      <c r="G42" t="s">
        <v>30</v>
      </c>
      <c r="H42" s="8">
        <v>43142</v>
      </c>
      <c r="I42" t="s">
        <v>22</v>
      </c>
      <c r="J42" t="s">
        <v>16</v>
      </c>
      <c r="K42" t="s">
        <v>39</v>
      </c>
      <c r="L42" t="s">
        <v>40</v>
      </c>
      <c r="M42" s="9">
        <v>135.1</v>
      </c>
      <c r="N42">
        <v>27</v>
      </c>
      <c r="O42" s="10">
        <f>Table1[[#This Row],[Precio unitario]]*Table1[[#This Row],[Cantidad]]</f>
        <v>3647.7</v>
      </c>
      <c r="P42" s="9">
        <v>346.53150000000005</v>
      </c>
    </row>
    <row r="43" spans="1:16" x14ac:dyDescent="0.35">
      <c r="A43" s="7">
        <v>1043</v>
      </c>
      <c r="B43" s="12">
        <v>43137</v>
      </c>
      <c r="C43" s="7">
        <v>6</v>
      </c>
      <c r="D43" t="s">
        <v>41</v>
      </c>
      <c r="E43" t="s">
        <v>78</v>
      </c>
      <c r="F43" t="s">
        <v>86</v>
      </c>
      <c r="G43" t="s">
        <v>90</v>
      </c>
      <c r="H43" s="8">
        <v>43139</v>
      </c>
      <c r="I43" t="s">
        <v>15</v>
      </c>
      <c r="J43" t="s">
        <v>23</v>
      </c>
      <c r="K43" t="s">
        <v>35</v>
      </c>
      <c r="L43" t="s">
        <v>36</v>
      </c>
      <c r="M43" s="9">
        <v>178.5</v>
      </c>
      <c r="N43">
        <v>71</v>
      </c>
      <c r="O43" s="10">
        <f>Table1[[#This Row],[Precio unitario]]*Table1[[#This Row],[Cantidad]]</f>
        <v>12673.5</v>
      </c>
      <c r="P43" s="9">
        <v>1280.0235</v>
      </c>
    </row>
    <row r="44" spans="1:16" x14ac:dyDescent="0.35">
      <c r="A44" s="7">
        <v>1044</v>
      </c>
      <c r="B44" s="12">
        <v>43139</v>
      </c>
      <c r="C44" s="7">
        <v>8</v>
      </c>
      <c r="D44" t="s">
        <v>29</v>
      </c>
      <c r="E44" t="s">
        <v>75</v>
      </c>
      <c r="F44" t="s">
        <v>88</v>
      </c>
      <c r="G44" t="s">
        <v>91</v>
      </c>
      <c r="H44" s="8">
        <v>43141</v>
      </c>
      <c r="I44" t="s">
        <v>15</v>
      </c>
      <c r="J44" t="s">
        <v>16</v>
      </c>
      <c r="K44" t="s">
        <v>35</v>
      </c>
      <c r="L44" t="s">
        <v>36</v>
      </c>
      <c r="M44" s="9">
        <v>178.5</v>
      </c>
      <c r="N44">
        <v>13</v>
      </c>
      <c r="O44" s="10">
        <f>Table1[[#This Row],[Precio unitario]]*Table1[[#This Row],[Cantidad]]</f>
        <v>2320.5</v>
      </c>
      <c r="P44" s="9">
        <v>220.44749999999996</v>
      </c>
    </row>
    <row r="45" spans="1:16" x14ac:dyDescent="0.35">
      <c r="A45" s="7">
        <v>1045</v>
      </c>
      <c r="B45" s="12">
        <v>43156</v>
      </c>
      <c r="C45" s="7">
        <v>25</v>
      </c>
      <c r="D45" t="s">
        <v>59</v>
      </c>
      <c r="E45" t="s">
        <v>73</v>
      </c>
      <c r="F45" t="s">
        <v>85</v>
      </c>
      <c r="G45" t="s">
        <v>92</v>
      </c>
      <c r="H45" s="8">
        <v>43158</v>
      </c>
      <c r="I45" t="s">
        <v>22</v>
      </c>
      <c r="J45" t="s">
        <v>38</v>
      </c>
      <c r="K45" t="s">
        <v>49</v>
      </c>
      <c r="L45" t="s">
        <v>49</v>
      </c>
      <c r="M45" s="9">
        <v>308</v>
      </c>
      <c r="N45">
        <v>98</v>
      </c>
      <c r="O45" s="10">
        <f>Table1[[#This Row],[Precio unitario]]*Table1[[#This Row],[Cantidad]]</f>
        <v>30184</v>
      </c>
      <c r="P45" s="9">
        <v>2867.4800000000005</v>
      </c>
    </row>
    <row r="46" spans="1:16" x14ac:dyDescent="0.35">
      <c r="A46" s="7">
        <v>1046</v>
      </c>
      <c r="B46" s="12">
        <v>43157</v>
      </c>
      <c r="C46" s="7">
        <v>26</v>
      </c>
      <c r="D46" t="s">
        <v>60</v>
      </c>
      <c r="E46" t="s">
        <v>71</v>
      </c>
      <c r="F46" t="s">
        <v>82</v>
      </c>
      <c r="G46" t="s">
        <v>30</v>
      </c>
      <c r="H46" s="8">
        <v>43159</v>
      </c>
      <c r="I46" t="s">
        <v>31</v>
      </c>
      <c r="J46" t="s">
        <v>23</v>
      </c>
      <c r="K46" t="s">
        <v>93</v>
      </c>
      <c r="L46" t="s">
        <v>48</v>
      </c>
      <c r="M46" s="9">
        <v>350</v>
      </c>
      <c r="N46">
        <v>21</v>
      </c>
      <c r="O46" s="10">
        <f>Table1[[#This Row],[Precio unitario]]*Table1[[#This Row],[Cantidad]]</f>
        <v>7350</v>
      </c>
      <c r="P46" s="9">
        <v>749.7</v>
      </c>
    </row>
    <row r="47" spans="1:16" x14ac:dyDescent="0.35">
      <c r="A47" s="7">
        <v>1047</v>
      </c>
      <c r="B47" s="12">
        <v>43160</v>
      </c>
      <c r="C47" s="7">
        <v>29</v>
      </c>
      <c r="D47" t="s">
        <v>34</v>
      </c>
      <c r="E47" t="s">
        <v>76</v>
      </c>
      <c r="F47" t="s">
        <v>84</v>
      </c>
      <c r="G47" t="s">
        <v>90</v>
      </c>
      <c r="H47" s="8">
        <v>43162</v>
      </c>
      <c r="I47" t="s">
        <v>15</v>
      </c>
      <c r="J47" t="s">
        <v>16</v>
      </c>
      <c r="K47" t="s">
        <v>61</v>
      </c>
      <c r="L47" t="s">
        <v>62</v>
      </c>
      <c r="M47" s="9">
        <v>546</v>
      </c>
      <c r="N47">
        <v>26</v>
      </c>
      <c r="O47" s="10">
        <f>Table1[[#This Row],[Precio unitario]]*Table1[[#This Row],[Cantidad]]</f>
        <v>14196</v>
      </c>
      <c r="P47" s="9">
        <v>1490.5800000000002</v>
      </c>
    </row>
    <row r="48" spans="1:16" x14ac:dyDescent="0.35">
      <c r="A48" s="7">
        <v>1048</v>
      </c>
      <c r="B48" s="12">
        <v>43137</v>
      </c>
      <c r="C48" s="7">
        <v>6</v>
      </c>
      <c r="D48" t="s">
        <v>41</v>
      </c>
      <c r="E48" t="s">
        <v>78</v>
      </c>
      <c r="F48" t="s">
        <v>86</v>
      </c>
      <c r="G48" t="s">
        <v>91</v>
      </c>
      <c r="H48" s="8">
        <v>43139</v>
      </c>
      <c r="I48" t="s">
        <v>31</v>
      </c>
      <c r="J48" t="s">
        <v>16</v>
      </c>
      <c r="K48" t="s">
        <v>24</v>
      </c>
      <c r="L48" t="s">
        <v>20</v>
      </c>
      <c r="M48" s="9">
        <v>420</v>
      </c>
      <c r="N48">
        <v>96</v>
      </c>
      <c r="O48" s="10">
        <f>Table1[[#This Row],[Precio unitario]]*Table1[[#This Row],[Cantidad]]</f>
        <v>40320</v>
      </c>
      <c r="P48" s="9">
        <v>4152.96</v>
      </c>
    </row>
    <row r="49" spans="1:16" x14ac:dyDescent="0.35">
      <c r="A49" s="7">
        <v>1049</v>
      </c>
      <c r="B49" s="12">
        <v>43137</v>
      </c>
      <c r="C49" s="7">
        <v>6</v>
      </c>
      <c r="D49" t="s">
        <v>41</v>
      </c>
      <c r="E49" t="s">
        <v>78</v>
      </c>
      <c r="F49" t="s">
        <v>86</v>
      </c>
      <c r="G49" t="s">
        <v>92</v>
      </c>
      <c r="H49" s="8">
        <v>43139</v>
      </c>
      <c r="I49" t="s">
        <v>31</v>
      </c>
      <c r="J49" t="s">
        <v>16</v>
      </c>
      <c r="K49" t="s">
        <v>25</v>
      </c>
      <c r="L49" t="s">
        <v>20</v>
      </c>
      <c r="M49" s="9">
        <v>742</v>
      </c>
      <c r="N49">
        <v>16</v>
      </c>
      <c r="O49" s="10">
        <f>Table1[[#This Row],[Precio unitario]]*Table1[[#This Row],[Cantidad]]</f>
        <v>11872</v>
      </c>
      <c r="P49" s="9">
        <v>1234.6880000000003</v>
      </c>
    </row>
    <row r="50" spans="1:16" x14ac:dyDescent="0.35">
      <c r="A50" s="7">
        <v>1050</v>
      </c>
      <c r="B50" s="12">
        <v>43135</v>
      </c>
      <c r="C50" s="7">
        <v>4</v>
      </c>
      <c r="D50" t="s">
        <v>21</v>
      </c>
      <c r="E50" t="s">
        <v>77</v>
      </c>
      <c r="F50" t="s">
        <v>83</v>
      </c>
      <c r="G50" t="s">
        <v>30</v>
      </c>
      <c r="H50" s="8"/>
      <c r="K50" t="s">
        <v>63</v>
      </c>
      <c r="L50" t="s">
        <v>55</v>
      </c>
      <c r="M50" s="9">
        <v>532</v>
      </c>
      <c r="N50">
        <v>96</v>
      </c>
      <c r="O50" s="10">
        <f>Table1[[#This Row],[Precio unitario]]*Table1[[#This Row],[Cantidad]]</f>
        <v>51072</v>
      </c>
      <c r="P50" s="9">
        <v>4851.84</v>
      </c>
    </row>
    <row r="51" spans="1:16" x14ac:dyDescent="0.35">
      <c r="A51" s="7">
        <v>1051</v>
      </c>
      <c r="B51" s="12">
        <v>43134</v>
      </c>
      <c r="C51" s="7">
        <v>3</v>
      </c>
      <c r="D51" t="s">
        <v>37</v>
      </c>
      <c r="E51" t="s">
        <v>69</v>
      </c>
      <c r="F51" t="s">
        <v>87</v>
      </c>
      <c r="G51" t="s">
        <v>90</v>
      </c>
      <c r="H51" s="8"/>
      <c r="K51" t="s">
        <v>46</v>
      </c>
      <c r="L51" t="s">
        <v>18</v>
      </c>
      <c r="M51" s="9">
        <v>41.86</v>
      </c>
      <c r="N51">
        <v>75</v>
      </c>
      <c r="O51" s="10">
        <f>Table1[[#This Row],[Precio unitario]]*Table1[[#This Row],[Cantidad]]</f>
        <v>3139.5</v>
      </c>
      <c r="P51" s="9">
        <v>323.36850000000004</v>
      </c>
    </row>
    <row r="52" spans="1:16" x14ac:dyDescent="0.35">
      <c r="A52" s="7">
        <v>1052</v>
      </c>
      <c r="B52" s="12">
        <v>43168</v>
      </c>
      <c r="C52" s="7">
        <v>9</v>
      </c>
      <c r="D52" t="s">
        <v>53</v>
      </c>
      <c r="E52" t="s">
        <v>72</v>
      </c>
      <c r="F52" t="s">
        <v>89</v>
      </c>
      <c r="G52" t="s">
        <v>91</v>
      </c>
      <c r="H52" s="8">
        <v>43170</v>
      </c>
      <c r="I52" t="s">
        <v>22</v>
      </c>
      <c r="J52" t="s">
        <v>16</v>
      </c>
      <c r="K52" t="s">
        <v>54</v>
      </c>
      <c r="L52" t="s">
        <v>55</v>
      </c>
      <c r="M52" s="9">
        <v>273</v>
      </c>
      <c r="N52">
        <v>55</v>
      </c>
      <c r="O52" s="10">
        <f>Table1[[#This Row],[Precio unitario]]*Table1[[#This Row],[Cantidad]]</f>
        <v>15015</v>
      </c>
      <c r="P52" s="9">
        <v>1516.5150000000001</v>
      </c>
    </row>
    <row r="53" spans="1:16" x14ac:dyDescent="0.35">
      <c r="A53" s="7">
        <v>1053</v>
      </c>
      <c r="B53" s="12">
        <v>43168</v>
      </c>
      <c r="C53" s="7">
        <v>9</v>
      </c>
      <c r="D53" t="s">
        <v>53</v>
      </c>
      <c r="E53" t="s">
        <v>72</v>
      </c>
      <c r="F53" t="s">
        <v>89</v>
      </c>
      <c r="G53" t="s">
        <v>92</v>
      </c>
      <c r="H53" s="8">
        <v>43170</v>
      </c>
      <c r="I53" t="s">
        <v>22</v>
      </c>
      <c r="J53" t="s">
        <v>16</v>
      </c>
      <c r="K53" t="s">
        <v>56</v>
      </c>
      <c r="L53" t="s">
        <v>57</v>
      </c>
      <c r="M53" s="9">
        <v>487.19999999999993</v>
      </c>
      <c r="N53">
        <v>11</v>
      </c>
      <c r="O53" s="10">
        <f>Table1[[#This Row],[Precio unitario]]*Table1[[#This Row],[Cantidad]]</f>
        <v>5359.1999999999989</v>
      </c>
      <c r="P53" s="9">
        <v>514.4831999999999</v>
      </c>
    </row>
    <row r="54" spans="1:16" x14ac:dyDescent="0.35">
      <c r="A54" s="7">
        <v>1054</v>
      </c>
      <c r="B54" s="12">
        <v>43165</v>
      </c>
      <c r="C54" s="7">
        <v>6</v>
      </c>
      <c r="D54" t="s">
        <v>41</v>
      </c>
      <c r="E54" t="s">
        <v>78</v>
      </c>
      <c r="F54" t="s">
        <v>86</v>
      </c>
      <c r="G54" t="s">
        <v>30</v>
      </c>
      <c r="H54" s="8">
        <v>43167</v>
      </c>
      <c r="I54" t="s">
        <v>15</v>
      </c>
      <c r="J54" t="s">
        <v>23</v>
      </c>
      <c r="K54" t="s">
        <v>17</v>
      </c>
      <c r="L54" t="s">
        <v>18</v>
      </c>
      <c r="M54" s="9">
        <v>196</v>
      </c>
      <c r="N54">
        <v>53</v>
      </c>
      <c r="O54" s="10">
        <f>Table1[[#This Row],[Precio unitario]]*Table1[[#This Row],[Cantidad]]</f>
        <v>10388</v>
      </c>
      <c r="P54" s="9">
        <v>1007.6360000000001</v>
      </c>
    </row>
    <row r="55" spans="1:16" x14ac:dyDescent="0.35">
      <c r="A55" s="7">
        <v>1055</v>
      </c>
      <c r="B55" s="12">
        <v>43167</v>
      </c>
      <c r="C55" s="7">
        <v>8</v>
      </c>
      <c r="D55" t="s">
        <v>29</v>
      </c>
      <c r="E55" t="s">
        <v>75</v>
      </c>
      <c r="F55" t="s">
        <v>88</v>
      </c>
      <c r="G55" t="s">
        <v>90</v>
      </c>
      <c r="H55" s="8">
        <v>43169</v>
      </c>
      <c r="I55" t="s">
        <v>15</v>
      </c>
      <c r="J55" t="s">
        <v>16</v>
      </c>
      <c r="K55" t="s">
        <v>42</v>
      </c>
      <c r="L55" t="s">
        <v>43</v>
      </c>
      <c r="M55" s="9">
        <v>560</v>
      </c>
      <c r="N55">
        <v>85</v>
      </c>
      <c r="O55" s="10">
        <f>Table1[[#This Row],[Precio unitario]]*Table1[[#This Row],[Cantidad]]</f>
        <v>47600</v>
      </c>
      <c r="P55" s="9">
        <v>4998</v>
      </c>
    </row>
    <row r="56" spans="1:16" x14ac:dyDescent="0.35">
      <c r="A56" s="7">
        <v>1056</v>
      </c>
      <c r="B56" s="12">
        <v>43167</v>
      </c>
      <c r="C56" s="7">
        <v>8</v>
      </c>
      <c r="D56" t="s">
        <v>29</v>
      </c>
      <c r="E56" t="s">
        <v>75</v>
      </c>
      <c r="F56" t="s">
        <v>88</v>
      </c>
      <c r="G56" t="s">
        <v>91</v>
      </c>
      <c r="H56" s="8">
        <v>43169</v>
      </c>
      <c r="I56" t="s">
        <v>15</v>
      </c>
      <c r="J56" t="s">
        <v>16</v>
      </c>
      <c r="K56" t="s">
        <v>32</v>
      </c>
      <c r="L56" t="s">
        <v>33</v>
      </c>
      <c r="M56" s="9">
        <v>128.79999999999998</v>
      </c>
      <c r="N56">
        <v>97</v>
      </c>
      <c r="O56" s="10">
        <f>Table1[[#This Row],[Precio unitario]]*Table1[[#This Row],[Cantidad]]</f>
        <v>12493.599999999999</v>
      </c>
      <c r="P56" s="9">
        <v>1274.3472000000002</v>
      </c>
    </row>
    <row r="57" spans="1:16" x14ac:dyDescent="0.35">
      <c r="A57" s="7">
        <v>1057</v>
      </c>
      <c r="B57" s="12">
        <v>43184</v>
      </c>
      <c r="C57" s="7">
        <v>25</v>
      </c>
      <c r="D57" t="s">
        <v>59</v>
      </c>
      <c r="E57" t="s">
        <v>73</v>
      </c>
      <c r="F57" t="s">
        <v>85</v>
      </c>
      <c r="G57" t="s">
        <v>92</v>
      </c>
      <c r="H57" s="8">
        <v>43186</v>
      </c>
      <c r="I57" t="s">
        <v>22</v>
      </c>
      <c r="J57" t="s">
        <v>38</v>
      </c>
      <c r="K57" t="s">
        <v>94</v>
      </c>
      <c r="L57" t="s">
        <v>33</v>
      </c>
      <c r="M57" s="9">
        <v>140</v>
      </c>
      <c r="N57">
        <v>46</v>
      </c>
      <c r="O57" s="10">
        <f>Table1[[#This Row],[Precio unitario]]*Table1[[#This Row],[Cantidad]]</f>
        <v>6440</v>
      </c>
      <c r="P57" s="9">
        <v>650.44000000000005</v>
      </c>
    </row>
    <row r="58" spans="1:16" x14ac:dyDescent="0.35">
      <c r="A58" s="7">
        <v>1058</v>
      </c>
      <c r="B58" s="12">
        <v>43185</v>
      </c>
      <c r="C58" s="7">
        <v>26</v>
      </c>
      <c r="D58" t="s">
        <v>60</v>
      </c>
      <c r="E58" t="s">
        <v>71</v>
      </c>
      <c r="F58" t="s">
        <v>82</v>
      </c>
      <c r="G58" t="s">
        <v>30</v>
      </c>
      <c r="H58" s="8">
        <v>43187</v>
      </c>
      <c r="I58" t="s">
        <v>31</v>
      </c>
      <c r="J58" t="s">
        <v>23</v>
      </c>
      <c r="K58" t="s">
        <v>64</v>
      </c>
      <c r="L58" t="s">
        <v>65</v>
      </c>
      <c r="M58" s="9">
        <v>298.90000000000003</v>
      </c>
      <c r="N58">
        <v>97</v>
      </c>
      <c r="O58" s="10">
        <f>Table1[[#This Row],[Precio unitario]]*Table1[[#This Row],[Cantidad]]</f>
        <v>28993.300000000003</v>
      </c>
      <c r="P58" s="9">
        <v>2754.3634999999999</v>
      </c>
    </row>
    <row r="59" spans="1:16" x14ac:dyDescent="0.35">
      <c r="A59" s="7">
        <v>1059</v>
      </c>
      <c r="B59" s="12">
        <v>43185</v>
      </c>
      <c r="C59" s="7">
        <v>26</v>
      </c>
      <c r="D59" t="s">
        <v>60</v>
      </c>
      <c r="E59" t="s">
        <v>71</v>
      </c>
      <c r="F59" t="s">
        <v>82</v>
      </c>
      <c r="G59" t="s">
        <v>90</v>
      </c>
      <c r="H59" s="8">
        <v>43187</v>
      </c>
      <c r="I59" t="s">
        <v>31</v>
      </c>
      <c r="J59" t="s">
        <v>23</v>
      </c>
      <c r="K59" t="s">
        <v>39</v>
      </c>
      <c r="L59" t="s">
        <v>40</v>
      </c>
      <c r="M59" s="9">
        <v>135.1</v>
      </c>
      <c r="N59">
        <v>97</v>
      </c>
      <c r="O59" s="10">
        <f>Table1[[#This Row],[Precio unitario]]*Table1[[#This Row],[Cantidad]]</f>
        <v>13104.699999999999</v>
      </c>
      <c r="P59" s="9">
        <v>1336.6794000000002</v>
      </c>
    </row>
    <row r="60" spans="1:16" x14ac:dyDescent="0.35">
      <c r="A60" s="7">
        <v>1060</v>
      </c>
      <c r="B60" s="12">
        <v>43185</v>
      </c>
      <c r="C60" s="7">
        <v>26</v>
      </c>
      <c r="D60" t="s">
        <v>60</v>
      </c>
      <c r="E60" t="s">
        <v>71</v>
      </c>
      <c r="F60" t="s">
        <v>82</v>
      </c>
      <c r="G60" t="s">
        <v>91</v>
      </c>
      <c r="H60" s="8">
        <v>43187</v>
      </c>
      <c r="I60" t="s">
        <v>31</v>
      </c>
      <c r="J60" t="s">
        <v>23</v>
      </c>
      <c r="K60" t="s">
        <v>52</v>
      </c>
      <c r="L60" t="s">
        <v>97</v>
      </c>
      <c r="M60" s="9">
        <v>257.59999999999997</v>
      </c>
      <c r="N60">
        <v>65</v>
      </c>
      <c r="O60" s="10">
        <f>Table1[[#This Row],[Precio unitario]]*Table1[[#This Row],[Cantidad]]</f>
        <v>16743.999999999996</v>
      </c>
      <c r="P60" s="9">
        <v>1724.6320000000003</v>
      </c>
    </row>
    <row r="61" spans="1:16" x14ac:dyDescent="0.35">
      <c r="A61" s="7">
        <v>1061</v>
      </c>
      <c r="B61" s="12">
        <v>43188</v>
      </c>
      <c r="C61" s="7">
        <v>29</v>
      </c>
      <c r="D61" t="s">
        <v>34</v>
      </c>
      <c r="E61" t="s">
        <v>76</v>
      </c>
      <c r="F61" t="s">
        <v>84</v>
      </c>
      <c r="G61" t="s">
        <v>92</v>
      </c>
      <c r="H61" s="8">
        <v>43190</v>
      </c>
      <c r="I61" t="s">
        <v>15</v>
      </c>
      <c r="J61" t="s">
        <v>16</v>
      </c>
      <c r="K61" t="s">
        <v>17</v>
      </c>
      <c r="L61" t="s">
        <v>18</v>
      </c>
      <c r="M61" s="9">
        <v>196</v>
      </c>
      <c r="N61">
        <v>72</v>
      </c>
      <c r="O61" s="10">
        <f>Table1[[#This Row],[Precio unitario]]*Table1[[#This Row],[Cantidad]]</f>
        <v>14112</v>
      </c>
      <c r="P61" s="9">
        <v>1411.2000000000003</v>
      </c>
    </row>
    <row r="62" spans="1:16" x14ac:dyDescent="0.35">
      <c r="A62" s="7">
        <v>1062</v>
      </c>
      <c r="B62" s="12">
        <v>43165</v>
      </c>
      <c r="C62" s="7">
        <v>6</v>
      </c>
      <c r="D62" t="s">
        <v>41</v>
      </c>
      <c r="E62" t="s">
        <v>78</v>
      </c>
      <c r="F62" t="s">
        <v>86</v>
      </c>
      <c r="G62" t="s">
        <v>30</v>
      </c>
      <c r="H62" s="8">
        <v>43167</v>
      </c>
      <c r="I62" t="s">
        <v>31</v>
      </c>
      <c r="J62" t="s">
        <v>16</v>
      </c>
      <c r="K62" t="s">
        <v>35</v>
      </c>
      <c r="L62" t="s">
        <v>36</v>
      </c>
      <c r="M62" s="9">
        <v>178.5</v>
      </c>
      <c r="N62">
        <v>16</v>
      </c>
      <c r="O62" s="10">
        <f>Table1[[#This Row],[Precio unitario]]*Table1[[#This Row],[Cantidad]]</f>
        <v>2856</v>
      </c>
      <c r="P62" s="9">
        <v>282.74400000000003</v>
      </c>
    </row>
    <row r="63" spans="1:16" x14ac:dyDescent="0.35">
      <c r="A63" s="7">
        <v>1064</v>
      </c>
      <c r="B63" s="12">
        <v>43163</v>
      </c>
      <c r="C63" s="7">
        <v>4</v>
      </c>
      <c r="D63" t="s">
        <v>21</v>
      </c>
      <c r="E63" t="s">
        <v>77</v>
      </c>
      <c r="F63" t="s">
        <v>83</v>
      </c>
      <c r="G63" t="s">
        <v>90</v>
      </c>
      <c r="H63" s="8">
        <v>43165</v>
      </c>
      <c r="I63" t="s">
        <v>22</v>
      </c>
      <c r="J63" t="s">
        <v>23</v>
      </c>
      <c r="K63" t="s">
        <v>66</v>
      </c>
      <c r="L63" t="s">
        <v>48</v>
      </c>
      <c r="M63" s="9">
        <v>1134</v>
      </c>
      <c r="N63">
        <v>77</v>
      </c>
      <c r="O63" s="10">
        <f>Table1[[#This Row],[Precio unitario]]*Table1[[#This Row],[Cantidad]]</f>
        <v>87318</v>
      </c>
      <c r="P63" s="9">
        <v>8993.7540000000008</v>
      </c>
    </row>
    <row r="64" spans="1:16" x14ac:dyDescent="0.35">
      <c r="A64" s="7">
        <v>1065</v>
      </c>
      <c r="B64" s="12">
        <v>43163</v>
      </c>
      <c r="C64" s="7">
        <v>4</v>
      </c>
      <c r="D64" t="s">
        <v>21</v>
      </c>
      <c r="E64" t="s">
        <v>77</v>
      </c>
      <c r="F64" t="s">
        <v>83</v>
      </c>
      <c r="G64" t="s">
        <v>91</v>
      </c>
      <c r="H64" s="8">
        <v>43165</v>
      </c>
      <c r="I64" t="s">
        <v>22</v>
      </c>
      <c r="J64" t="s">
        <v>23</v>
      </c>
      <c r="K64" t="s">
        <v>67</v>
      </c>
      <c r="L64" t="s">
        <v>98</v>
      </c>
      <c r="M64" s="9">
        <v>98</v>
      </c>
      <c r="N64">
        <v>37</v>
      </c>
      <c r="O64" s="10">
        <f>Table1[[#This Row],[Precio unitario]]*Table1[[#This Row],[Cantidad]]</f>
        <v>3626</v>
      </c>
      <c r="P64" s="9">
        <v>344.47</v>
      </c>
    </row>
    <row r="65" spans="1:16" x14ac:dyDescent="0.35">
      <c r="A65" s="7">
        <v>1067</v>
      </c>
      <c r="B65" s="12">
        <v>43167</v>
      </c>
      <c r="C65" s="7">
        <v>8</v>
      </c>
      <c r="D65" t="s">
        <v>29</v>
      </c>
      <c r="E65" t="s">
        <v>75</v>
      </c>
      <c r="F65" t="s">
        <v>88</v>
      </c>
      <c r="G65" t="s">
        <v>92</v>
      </c>
      <c r="H65" s="8">
        <v>43169</v>
      </c>
      <c r="I65" t="s">
        <v>31</v>
      </c>
      <c r="J65" t="s">
        <v>23</v>
      </c>
      <c r="K65" t="s">
        <v>56</v>
      </c>
      <c r="L65" t="s">
        <v>57</v>
      </c>
      <c r="M65" s="9">
        <v>487.19999999999993</v>
      </c>
      <c r="N65">
        <v>63</v>
      </c>
      <c r="O65" s="10">
        <f>Table1[[#This Row],[Precio unitario]]*Table1[[#This Row],[Cantidad]]</f>
        <v>30693.599999999995</v>
      </c>
      <c r="P65" s="9">
        <v>3038.6664000000001</v>
      </c>
    </row>
    <row r="66" spans="1:16" x14ac:dyDescent="0.35">
      <c r="A66" s="7">
        <v>1070</v>
      </c>
      <c r="B66" s="12">
        <v>43162</v>
      </c>
      <c r="C66" s="7">
        <v>3</v>
      </c>
      <c r="D66" t="s">
        <v>37</v>
      </c>
      <c r="E66" t="s">
        <v>69</v>
      </c>
      <c r="F66" t="s">
        <v>87</v>
      </c>
      <c r="G66" t="s">
        <v>30</v>
      </c>
      <c r="H66" s="8">
        <v>43164</v>
      </c>
      <c r="I66" t="s">
        <v>15</v>
      </c>
      <c r="J66" t="s">
        <v>38</v>
      </c>
      <c r="K66" t="s">
        <v>95</v>
      </c>
      <c r="L66" t="s">
        <v>49</v>
      </c>
      <c r="M66" s="9">
        <v>140</v>
      </c>
      <c r="N66">
        <v>48</v>
      </c>
      <c r="O66" s="10">
        <f>Table1[[#This Row],[Precio unitario]]*Table1[[#This Row],[Cantidad]]</f>
        <v>6720</v>
      </c>
      <c r="P66" s="9">
        <v>672</v>
      </c>
    </row>
    <row r="67" spans="1:16" x14ac:dyDescent="0.35">
      <c r="A67" s="7">
        <v>1071</v>
      </c>
      <c r="B67" s="12">
        <v>43162</v>
      </c>
      <c r="C67" s="7">
        <v>3</v>
      </c>
      <c r="D67" t="s">
        <v>37</v>
      </c>
      <c r="E67" t="s">
        <v>69</v>
      </c>
      <c r="F67" t="s">
        <v>87</v>
      </c>
      <c r="G67" t="s">
        <v>90</v>
      </c>
      <c r="H67" s="8">
        <v>43164</v>
      </c>
      <c r="I67" t="s">
        <v>15</v>
      </c>
      <c r="J67" t="s">
        <v>38</v>
      </c>
      <c r="K67" t="s">
        <v>42</v>
      </c>
      <c r="L67" t="s">
        <v>43</v>
      </c>
      <c r="M67" s="9">
        <v>560</v>
      </c>
      <c r="N67">
        <v>71</v>
      </c>
      <c r="O67" s="10">
        <f>Table1[[#This Row],[Precio unitario]]*Table1[[#This Row],[Cantidad]]</f>
        <v>39760</v>
      </c>
      <c r="P67" s="9">
        <v>4135.04</v>
      </c>
    </row>
    <row r="68" spans="1:16" x14ac:dyDescent="0.35">
      <c r="A68" s="7">
        <v>1075</v>
      </c>
      <c r="B68" s="12">
        <v>43169</v>
      </c>
      <c r="C68" s="7">
        <v>10</v>
      </c>
      <c r="D68" t="s">
        <v>45</v>
      </c>
      <c r="E68" t="s">
        <v>73</v>
      </c>
      <c r="F68" t="s">
        <v>85</v>
      </c>
      <c r="G68" t="s">
        <v>91</v>
      </c>
      <c r="H68" s="8">
        <v>43171</v>
      </c>
      <c r="I68" t="s">
        <v>15</v>
      </c>
      <c r="J68" t="s">
        <v>23</v>
      </c>
      <c r="K68" t="s">
        <v>58</v>
      </c>
      <c r="L68" t="s">
        <v>20</v>
      </c>
      <c r="M68" s="9">
        <v>140</v>
      </c>
      <c r="N68">
        <v>55</v>
      </c>
      <c r="O68" s="10">
        <f>Table1[[#This Row],[Precio unitario]]*Table1[[#This Row],[Cantidad]]</f>
        <v>7700</v>
      </c>
      <c r="P68" s="9">
        <v>770</v>
      </c>
    </row>
    <row r="69" spans="1:16" x14ac:dyDescent="0.35">
      <c r="A69" s="7">
        <v>1077</v>
      </c>
      <c r="B69" s="12">
        <v>43169</v>
      </c>
      <c r="C69" s="7">
        <v>10</v>
      </c>
      <c r="D69" t="s">
        <v>45</v>
      </c>
      <c r="E69" t="s">
        <v>73</v>
      </c>
      <c r="F69" t="s">
        <v>85</v>
      </c>
      <c r="G69" t="s">
        <v>92</v>
      </c>
      <c r="H69" s="8"/>
      <c r="I69" t="s">
        <v>22</v>
      </c>
      <c r="K69" t="s">
        <v>19</v>
      </c>
      <c r="L69" t="s">
        <v>20</v>
      </c>
      <c r="M69" s="9">
        <v>49</v>
      </c>
      <c r="N69">
        <v>21</v>
      </c>
      <c r="O69" s="10">
        <f>Table1[[#This Row],[Precio unitario]]*Table1[[#This Row],[Cantidad]]</f>
        <v>1029</v>
      </c>
      <c r="P69" s="9">
        <v>102.9</v>
      </c>
    </row>
    <row r="70" spans="1:16" x14ac:dyDescent="0.35">
      <c r="A70" s="7">
        <v>1078</v>
      </c>
      <c r="B70" s="12">
        <v>43170</v>
      </c>
      <c r="C70" s="7">
        <v>11</v>
      </c>
      <c r="D70" t="s">
        <v>50</v>
      </c>
      <c r="E70" t="s">
        <v>71</v>
      </c>
      <c r="F70" t="s">
        <v>82</v>
      </c>
      <c r="G70" t="s">
        <v>30</v>
      </c>
      <c r="H70" s="8"/>
      <c r="I70" t="s">
        <v>31</v>
      </c>
      <c r="K70" t="s">
        <v>42</v>
      </c>
      <c r="L70" t="s">
        <v>43</v>
      </c>
      <c r="M70" s="9">
        <v>560</v>
      </c>
      <c r="N70">
        <v>67</v>
      </c>
      <c r="O70" s="10">
        <f>Table1[[#This Row],[Precio unitario]]*Table1[[#This Row],[Cantidad]]</f>
        <v>37520</v>
      </c>
      <c r="P70" s="9">
        <v>3789.52</v>
      </c>
    </row>
    <row r="71" spans="1:16" x14ac:dyDescent="0.35">
      <c r="A71" s="7">
        <v>1079</v>
      </c>
      <c r="B71" s="12">
        <v>43160</v>
      </c>
      <c r="C71" s="7">
        <v>1</v>
      </c>
      <c r="D71" t="s">
        <v>51</v>
      </c>
      <c r="E71" t="s">
        <v>80</v>
      </c>
      <c r="F71" t="s">
        <v>88</v>
      </c>
      <c r="G71" t="s">
        <v>90</v>
      </c>
      <c r="H71" s="8"/>
      <c r="I71" t="s">
        <v>31</v>
      </c>
      <c r="K71" t="s">
        <v>52</v>
      </c>
      <c r="L71" t="s">
        <v>97</v>
      </c>
      <c r="M71" s="9">
        <v>257.59999999999997</v>
      </c>
      <c r="N71">
        <v>75</v>
      </c>
      <c r="O71" s="10">
        <f>Table1[[#This Row],[Precio unitario]]*Table1[[#This Row],[Cantidad]]</f>
        <v>19319.999999999996</v>
      </c>
      <c r="P71" s="9">
        <v>1932</v>
      </c>
    </row>
    <row r="72" spans="1:16" x14ac:dyDescent="0.35">
      <c r="A72" s="7">
        <v>1080</v>
      </c>
      <c r="B72" s="12">
        <v>43187</v>
      </c>
      <c r="C72" s="7">
        <v>28</v>
      </c>
      <c r="D72" t="s">
        <v>44</v>
      </c>
      <c r="E72" t="s">
        <v>79</v>
      </c>
      <c r="F72" t="s">
        <v>82</v>
      </c>
      <c r="G72" t="s">
        <v>91</v>
      </c>
      <c r="H72" s="8">
        <v>43189</v>
      </c>
      <c r="I72" t="s">
        <v>31</v>
      </c>
      <c r="J72" t="s">
        <v>23</v>
      </c>
      <c r="K72" t="s">
        <v>28</v>
      </c>
      <c r="L72" t="s">
        <v>18</v>
      </c>
      <c r="M72" s="9">
        <v>644</v>
      </c>
      <c r="N72">
        <v>17</v>
      </c>
      <c r="O72" s="10">
        <f>Table1[[#This Row],[Precio unitario]]*Table1[[#This Row],[Cantidad]]</f>
        <v>10948</v>
      </c>
      <c r="P72" s="9">
        <v>1127.644</v>
      </c>
    </row>
    <row r="73" spans="1:16" x14ac:dyDescent="0.35">
      <c r="A73" s="7">
        <v>1081</v>
      </c>
      <c r="B73" s="12">
        <v>43194</v>
      </c>
      <c r="C73" s="7">
        <v>4</v>
      </c>
      <c r="D73" t="s">
        <v>21</v>
      </c>
      <c r="E73" t="s">
        <v>77</v>
      </c>
      <c r="F73" t="s">
        <v>83</v>
      </c>
      <c r="G73" t="s">
        <v>92</v>
      </c>
      <c r="H73" s="8">
        <v>43196</v>
      </c>
      <c r="I73" t="s">
        <v>22</v>
      </c>
      <c r="J73" t="s">
        <v>23</v>
      </c>
      <c r="K73" t="s">
        <v>19</v>
      </c>
      <c r="L73" t="s">
        <v>20</v>
      </c>
      <c r="M73" s="9">
        <v>49</v>
      </c>
      <c r="N73">
        <v>48</v>
      </c>
      <c r="O73" s="10">
        <f>Table1[[#This Row],[Precio unitario]]*Table1[[#This Row],[Cantidad]]</f>
        <v>2352</v>
      </c>
      <c r="P73" s="9">
        <v>228.14400000000001</v>
      </c>
    </row>
    <row r="74" spans="1:16" x14ac:dyDescent="0.35">
      <c r="A74" s="7">
        <v>1082</v>
      </c>
      <c r="B74" s="12">
        <v>43202</v>
      </c>
      <c r="C74" s="7">
        <v>12</v>
      </c>
      <c r="D74" t="s">
        <v>26</v>
      </c>
      <c r="E74" t="s">
        <v>74</v>
      </c>
      <c r="F74" t="s">
        <v>87</v>
      </c>
      <c r="G74" t="s">
        <v>30</v>
      </c>
      <c r="H74" s="8">
        <v>43204</v>
      </c>
      <c r="I74" t="s">
        <v>15</v>
      </c>
      <c r="J74" t="s">
        <v>23</v>
      </c>
      <c r="K74" t="s">
        <v>27</v>
      </c>
      <c r="L74" t="s">
        <v>18</v>
      </c>
      <c r="M74" s="9">
        <v>252</v>
      </c>
      <c r="N74">
        <v>74</v>
      </c>
      <c r="O74" s="10">
        <f>Table1[[#This Row],[Precio unitario]]*Table1[[#This Row],[Cantidad]]</f>
        <v>18648</v>
      </c>
      <c r="P74" s="9">
        <v>1920.7440000000004</v>
      </c>
    </row>
    <row r="75" spans="1:16" x14ac:dyDescent="0.35">
      <c r="A75" s="7">
        <v>1083</v>
      </c>
      <c r="B75" s="12">
        <v>43202</v>
      </c>
      <c r="C75" s="7">
        <v>12</v>
      </c>
      <c r="D75" t="s">
        <v>26</v>
      </c>
      <c r="E75" t="s">
        <v>74</v>
      </c>
      <c r="F75" t="s">
        <v>87</v>
      </c>
      <c r="G75" t="s">
        <v>90</v>
      </c>
      <c r="H75" s="8">
        <v>43204</v>
      </c>
      <c r="I75" t="s">
        <v>15</v>
      </c>
      <c r="J75" t="s">
        <v>23</v>
      </c>
      <c r="K75" t="s">
        <v>28</v>
      </c>
      <c r="L75" t="s">
        <v>18</v>
      </c>
      <c r="M75" s="9">
        <v>644</v>
      </c>
      <c r="N75">
        <v>96</v>
      </c>
      <c r="O75" s="10">
        <f>Table1[[#This Row],[Precio unitario]]*Table1[[#This Row],[Cantidad]]</f>
        <v>61824</v>
      </c>
      <c r="P75" s="9">
        <v>5996.9280000000008</v>
      </c>
    </row>
    <row r="76" spans="1:16" x14ac:dyDescent="0.35">
      <c r="A76" s="7">
        <v>1084</v>
      </c>
      <c r="B76" s="12">
        <v>43198</v>
      </c>
      <c r="C76" s="7">
        <v>8</v>
      </c>
      <c r="D76" t="s">
        <v>29</v>
      </c>
      <c r="E76" t="s">
        <v>75</v>
      </c>
      <c r="F76" t="s">
        <v>88</v>
      </c>
      <c r="G76" t="s">
        <v>91</v>
      </c>
      <c r="H76" s="8">
        <v>43200</v>
      </c>
      <c r="I76" t="s">
        <v>31</v>
      </c>
      <c r="J76" t="s">
        <v>23</v>
      </c>
      <c r="K76" t="s">
        <v>32</v>
      </c>
      <c r="L76" t="s">
        <v>33</v>
      </c>
      <c r="M76" s="9">
        <v>128.79999999999998</v>
      </c>
      <c r="N76">
        <v>12</v>
      </c>
      <c r="O76" s="10">
        <f>Table1[[#This Row],[Precio unitario]]*Table1[[#This Row],[Cantidad]]</f>
        <v>1545.6</v>
      </c>
      <c r="P76" s="9">
        <v>159.1968</v>
      </c>
    </row>
    <row r="77" spans="1:16" x14ac:dyDescent="0.35">
      <c r="A77" s="7">
        <v>1085</v>
      </c>
      <c r="B77" s="12">
        <v>43194</v>
      </c>
      <c r="C77" s="7">
        <v>4</v>
      </c>
      <c r="D77" t="s">
        <v>21</v>
      </c>
      <c r="E77" t="s">
        <v>77</v>
      </c>
      <c r="F77" t="s">
        <v>83</v>
      </c>
      <c r="G77" t="s">
        <v>92</v>
      </c>
      <c r="H77" s="8">
        <v>43196</v>
      </c>
      <c r="I77" t="s">
        <v>31</v>
      </c>
      <c r="J77" t="s">
        <v>16</v>
      </c>
      <c r="K77" t="s">
        <v>32</v>
      </c>
      <c r="L77" t="s">
        <v>33</v>
      </c>
      <c r="M77" s="9">
        <v>128.79999999999998</v>
      </c>
      <c r="N77">
        <v>62</v>
      </c>
      <c r="O77" s="10">
        <f>Table1[[#This Row],[Precio unitario]]*Table1[[#This Row],[Cantidad]]</f>
        <v>7985.5999999999985</v>
      </c>
      <c r="P77" s="9">
        <v>822.51679999999999</v>
      </c>
    </row>
    <row r="78" spans="1:16" x14ac:dyDescent="0.35">
      <c r="A78" s="7">
        <v>1086</v>
      </c>
      <c r="B78" s="12">
        <v>43219</v>
      </c>
      <c r="C78" s="7">
        <v>29</v>
      </c>
      <c r="D78" t="s">
        <v>34</v>
      </c>
      <c r="E78" t="s">
        <v>76</v>
      </c>
      <c r="F78" t="s">
        <v>84</v>
      </c>
      <c r="G78" t="s">
        <v>30</v>
      </c>
      <c r="H78" s="8">
        <v>43221</v>
      </c>
      <c r="I78" t="s">
        <v>15</v>
      </c>
      <c r="J78" t="s">
        <v>16</v>
      </c>
      <c r="K78" t="s">
        <v>35</v>
      </c>
      <c r="L78" t="s">
        <v>36</v>
      </c>
      <c r="M78" s="9">
        <v>178.5</v>
      </c>
      <c r="N78">
        <v>35</v>
      </c>
      <c r="O78" s="10">
        <f>Table1[[#This Row],[Precio unitario]]*Table1[[#This Row],[Cantidad]]</f>
        <v>6247.5</v>
      </c>
      <c r="P78" s="9">
        <v>643.49250000000006</v>
      </c>
    </row>
    <row r="79" spans="1:16" x14ac:dyDescent="0.35">
      <c r="A79" s="7">
        <v>1087</v>
      </c>
      <c r="B79" s="12">
        <v>43193</v>
      </c>
      <c r="C79" s="7">
        <v>3</v>
      </c>
      <c r="D79" t="s">
        <v>37</v>
      </c>
      <c r="E79" t="s">
        <v>69</v>
      </c>
      <c r="F79" t="s">
        <v>87</v>
      </c>
      <c r="G79" t="s">
        <v>90</v>
      </c>
      <c r="H79" s="8">
        <v>43195</v>
      </c>
      <c r="I79" t="s">
        <v>15</v>
      </c>
      <c r="J79" t="s">
        <v>38</v>
      </c>
      <c r="K79" t="s">
        <v>39</v>
      </c>
      <c r="L79" t="s">
        <v>40</v>
      </c>
      <c r="M79" s="9">
        <v>135.1</v>
      </c>
      <c r="N79">
        <v>95</v>
      </c>
      <c r="O79" s="10">
        <f>Table1[[#This Row],[Precio unitario]]*Table1[[#This Row],[Cantidad]]</f>
        <v>12834.5</v>
      </c>
      <c r="P79" s="9">
        <v>1283.4500000000003</v>
      </c>
    </row>
    <row r="80" spans="1:16" x14ac:dyDescent="0.35">
      <c r="A80" s="7">
        <v>1088</v>
      </c>
      <c r="B80" s="12">
        <v>43196</v>
      </c>
      <c r="C80" s="7">
        <v>6</v>
      </c>
      <c r="D80" t="s">
        <v>41</v>
      </c>
      <c r="E80" t="s">
        <v>78</v>
      </c>
      <c r="F80" t="s">
        <v>86</v>
      </c>
      <c r="G80" t="s">
        <v>91</v>
      </c>
      <c r="H80" s="8">
        <v>43198</v>
      </c>
      <c r="I80" t="s">
        <v>15</v>
      </c>
      <c r="J80" t="s">
        <v>23</v>
      </c>
      <c r="K80" t="s">
        <v>42</v>
      </c>
      <c r="L80" t="s">
        <v>43</v>
      </c>
      <c r="M80" s="9">
        <v>560</v>
      </c>
      <c r="N80">
        <v>17</v>
      </c>
      <c r="O80" s="10">
        <f>Table1[[#This Row],[Precio unitario]]*Table1[[#This Row],[Cantidad]]</f>
        <v>9520</v>
      </c>
      <c r="P80" s="9">
        <v>961.5200000000001</v>
      </c>
    </row>
    <row r="81" spans="1:16" x14ac:dyDescent="0.35">
      <c r="A81" s="7">
        <v>1089</v>
      </c>
      <c r="B81" s="12">
        <v>43218</v>
      </c>
      <c r="C81" s="7">
        <v>28</v>
      </c>
      <c r="D81" t="s">
        <v>44</v>
      </c>
      <c r="E81" t="s">
        <v>79</v>
      </c>
      <c r="F81" t="s">
        <v>82</v>
      </c>
      <c r="G81" t="s">
        <v>92</v>
      </c>
      <c r="H81" s="8">
        <v>43220</v>
      </c>
      <c r="I81" t="s">
        <v>31</v>
      </c>
      <c r="J81" t="s">
        <v>16</v>
      </c>
      <c r="K81" t="s">
        <v>28</v>
      </c>
      <c r="L81" t="s">
        <v>18</v>
      </c>
      <c r="M81" s="9">
        <v>644</v>
      </c>
      <c r="N81">
        <v>96</v>
      </c>
      <c r="O81" s="10">
        <f>Table1[[#This Row],[Precio unitario]]*Table1[[#This Row],[Cantidad]]</f>
        <v>61824</v>
      </c>
      <c r="P81" s="9">
        <v>6491.52</v>
      </c>
    </row>
    <row r="82" spans="1:16" x14ac:dyDescent="0.35">
      <c r="A82" s="7">
        <v>1090</v>
      </c>
      <c r="B82" s="12">
        <v>43198</v>
      </c>
      <c r="C82" s="7">
        <v>8</v>
      </c>
      <c r="D82" t="s">
        <v>29</v>
      </c>
      <c r="E82" t="s">
        <v>75</v>
      </c>
      <c r="F82" t="s">
        <v>88</v>
      </c>
      <c r="G82" t="s">
        <v>30</v>
      </c>
      <c r="H82" s="8">
        <v>43200</v>
      </c>
      <c r="I82" t="s">
        <v>31</v>
      </c>
      <c r="J82" t="s">
        <v>16</v>
      </c>
      <c r="K82" t="s">
        <v>35</v>
      </c>
      <c r="L82" t="s">
        <v>36</v>
      </c>
      <c r="M82" s="9">
        <v>178.5</v>
      </c>
      <c r="N82">
        <v>83</v>
      </c>
      <c r="O82" s="10">
        <f>Table1[[#This Row],[Precio unitario]]*Table1[[#This Row],[Cantidad]]</f>
        <v>14815.5</v>
      </c>
      <c r="P82" s="9">
        <v>1437.1034999999999</v>
      </c>
    </row>
    <row r="83" spans="1:16" x14ac:dyDescent="0.35">
      <c r="A83" s="7">
        <v>1091</v>
      </c>
      <c r="B83" s="12">
        <v>43200</v>
      </c>
      <c r="C83" s="7">
        <v>10</v>
      </c>
      <c r="D83" t="s">
        <v>45</v>
      </c>
      <c r="E83" t="s">
        <v>73</v>
      </c>
      <c r="F83" t="s">
        <v>85</v>
      </c>
      <c r="G83" t="s">
        <v>90</v>
      </c>
      <c r="H83" s="8">
        <v>43202</v>
      </c>
      <c r="I83" t="s">
        <v>15</v>
      </c>
      <c r="J83" t="s">
        <v>23</v>
      </c>
      <c r="K83" t="s">
        <v>46</v>
      </c>
      <c r="L83" t="s">
        <v>18</v>
      </c>
      <c r="M83" s="9">
        <v>41.86</v>
      </c>
      <c r="N83">
        <v>88</v>
      </c>
      <c r="O83" s="10">
        <f>Table1[[#This Row],[Precio unitario]]*Table1[[#This Row],[Cantidad]]</f>
        <v>3683.68</v>
      </c>
      <c r="P83" s="9">
        <v>364.68432000000001</v>
      </c>
    </row>
    <row r="84" spans="1:16" x14ac:dyDescent="0.35">
      <c r="A84" s="7">
        <v>1092</v>
      </c>
      <c r="B84" s="12">
        <v>43197</v>
      </c>
      <c r="C84" s="7">
        <v>7</v>
      </c>
      <c r="D84" t="s">
        <v>47</v>
      </c>
      <c r="E84" t="s">
        <v>70</v>
      </c>
      <c r="F84" t="s">
        <v>88</v>
      </c>
      <c r="G84" t="s">
        <v>91</v>
      </c>
      <c r="H84" s="8"/>
      <c r="K84" t="s">
        <v>28</v>
      </c>
      <c r="L84" t="s">
        <v>18</v>
      </c>
      <c r="M84" s="9">
        <v>644</v>
      </c>
      <c r="N84">
        <v>59</v>
      </c>
      <c r="O84" s="10">
        <f>Table1[[#This Row],[Precio unitario]]*Table1[[#This Row],[Cantidad]]</f>
        <v>37996</v>
      </c>
      <c r="P84" s="9">
        <v>3989.5800000000004</v>
      </c>
    </row>
    <row r="85" spans="1:16" x14ac:dyDescent="0.35">
      <c r="A85" s="7">
        <v>1093</v>
      </c>
      <c r="B85" s="12">
        <v>43200</v>
      </c>
      <c r="C85" s="7">
        <v>10</v>
      </c>
      <c r="D85" t="s">
        <v>45</v>
      </c>
      <c r="E85" t="s">
        <v>73</v>
      </c>
      <c r="F85" t="s">
        <v>85</v>
      </c>
      <c r="G85" t="s">
        <v>92</v>
      </c>
      <c r="H85" s="8">
        <v>43202</v>
      </c>
      <c r="I85" t="s">
        <v>22</v>
      </c>
      <c r="K85" t="s">
        <v>93</v>
      </c>
      <c r="L85" t="s">
        <v>48</v>
      </c>
      <c r="M85" s="9">
        <v>350</v>
      </c>
      <c r="N85">
        <v>27</v>
      </c>
      <c r="O85" s="10">
        <f>Table1[[#This Row],[Precio unitario]]*Table1[[#This Row],[Cantidad]]</f>
        <v>9450</v>
      </c>
      <c r="P85" s="9">
        <v>963.89999999999986</v>
      </c>
    </row>
    <row r="86" spans="1:16" x14ac:dyDescent="0.35">
      <c r="A86" s="7">
        <v>1094</v>
      </c>
      <c r="B86" s="12">
        <v>43200</v>
      </c>
      <c r="C86" s="7">
        <v>10</v>
      </c>
      <c r="D86" t="s">
        <v>45</v>
      </c>
      <c r="E86" t="s">
        <v>73</v>
      </c>
      <c r="F86" t="s">
        <v>85</v>
      </c>
      <c r="G86" t="s">
        <v>30</v>
      </c>
      <c r="H86" s="8">
        <v>43202</v>
      </c>
      <c r="I86" t="s">
        <v>22</v>
      </c>
      <c r="K86" t="s">
        <v>49</v>
      </c>
      <c r="L86" t="s">
        <v>49</v>
      </c>
      <c r="M86" s="9">
        <v>308</v>
      </c>
      <c r="N86">
        <v>37</v>
      </c>
      <c r="O86" s="10">
        <f>Table1[[#This Row],[Precio unitario]]*Table1[[#This Row],[Cantidad]]</f>
        <v>11396</v>
      </c>
      <c r="P86" s="9">
        <v>1196.5800000000002</v>
      </c>
    </row>
    <row r="87" spans="1:16" x14ac:dyDescent="0.35">
      <c r="A87" s="7">
        <v>1095</v>
      </c>
      <c r="B87" s="12">
        <v>43200</v>
      </c>
      <c r="C87" s="7">
        <v>10</v>
      </c>
      <c r="D87" t="s">
        <v>45</v>
      </c>
      <c r="E87" t="s">
        <v>73</v>
      </c>
      <c r="F87" t="s">
        <v>85</v>
      </c>
      <c r="G87" t="s">
        <v>90</v>
      </c>
      <c r="H87" s="8">
        <v>43202</v>
      </c>
      <c r="I87" t="s">
        <v>22</v>
      </c>
      <c r="K87" t="s">
        <v>32</v>
      </c>
      <c r="L87" t="s">
        <v>33</v>
      </c>
      <c r="M87" s="9">
        <v>128.79999999999998</v>
      </c>
      <c r="N87">
        <v>75</v>
      </c>
      <c r="O87" s="10">
        <f>Table1[[#This Row],[Precio unitario]]*Table1[[#This Row],[Cantidad]]</f>
        <v>9659.9999999999982</v>
      </c>
      <c r="P87" s="9">
        <v>966</v>
      </c>
    </row>
    <row r="88" spans="1:16" x14ac:dyDescent="0.35">
      <c r="A88" s="7">
        <v>1096</v>
      </c>
      <c r="B88" s="12">
        <v>43201</v>
      </c>
      <c r="C88" s="7">
        <v>11</v>
      </c>
      <c r="D88" t="s">
        <v>50</v>
      </c>
      <c r="E88" t="s">
        <v>71</v>
      </c>
      <c r="F88" t="s">
        <v>82</v>
      </c>
      <c r="G88" t="s">
        <v>91</v>
      </c>
      <c r="H88" s="8"/>
      <c r="I88" t="s">
        <v>31</v>
      </c>
      <c r="K88" t="s">
        <v>19</v>
      </c>
      <c r="L88" t="s">
        <v>20</v>
      </c>
      <c r="M88" s="9">
        <v>49</v>
      </c>
      <c r="N88">
        <v>71</v>
      </c>
      <c r="O88" s="10">
        <f>Table1[[#This Row],[Precio unitario]]*Table1[[#This Row],[Cantidad]]</f>
        <v>3479</v>
      </c>
      <c r="P88" s="9">
        <v>337.46300000000002</v>
      </c>
    </row>
    <row r="89" spans="1:16" x14ac:dyDescent="0.35">
      <c r="A89" s="7">
        <v>1097</v>
      </c>
      <c r="B89" s="12">
        <v>43201</v>
      </c>
      <c r="C89" s="7">
        <v>11</v>
      </c>
      <c r="D89" t="s">
        <v>50</v>
      </c>
      <c r="E89" t="s">
        <v>71</v>
      </c>
      <c r="F89" t="s">
        <v>82</v>
      </c>
      <c r="G89" t="s">
        <v>92</v>
      </c>
      <c r="H89" s="8"/>
      <c r="I89" t="s">
        <v>31</v>
      </c>
      <c r="K89" t="s">
        <v>46</v>
      </c>
      <c r="L89" t="s">
        <v>18</v>
      </c>
      <c r="M89" s="9">
        <v>41.86</v>
      </c>
      <c r="N89">
        <v>88</v>
      </c>
      <c r="O89" s="10">
        <f>Table1[[#This Row],[Precio unitario]]*Table1[[#This Row],[Cantidad]]</f>
        <v>3683.68</v>
      </c>
      <c r="P89" s="9">
        <v>364.68432000000001</v>
      </c>
    </row>
    <row r="90" spans="1:16" x14ac:dyDescent="0.35">
      <c r="A90" s="7">
        <v>1098</v>
      </c>
      <c r="B90" s="12">
        <v>43191</v>
      </c>
      <c r="C90" s="7">
        <v>1</v>
      </c>
      <c r="D90" t="s">
        <v>51</v>
      </c>
      <c r="E90" t="s">
        <v>80</v>
      </c>
      <c r="F90" t="s">
        <v>88</v>
      </c>
      <c r="G90" t="s">
        <v>30</v>
      </c>
      <c r="H90" s="8"/>
      <c r="K90" t="s">
        <v>27</v>
      </c>
      <c r="L90" t="s">
        <v>18</v>
      </c>
      <c r="M90" s="9">
        <v>252</v>
      </c>
      <c r="N90">
        <v>55</v>
      </c>
      <c r="O90" s="10">
        <f>Table1[[#This Row],[Precio unitario]]*Table1[[#This Row],[Cantidad]]</f>
        <v>13860</v>
      </c>
      <c r="P90" s="9">
        <v>1358.28</v>
      </c>
    </row>
    <row r="91" spans="1:16" x14ac:dyDescent="0.35">
      <c r="A91" s="7">
        <v>1099</v>
      </c>
      <c r="B91" s="12">
        <v>43249</v>
      </c>
      <c r="C91" s="7">
        <v>29</v>
      </c>
      <c r="D91" t="s">
        <v>34</v>
      </c>
      <c r="E91" t="s">
        <v>76</v>
      </c>
      <c r="F91" t="s">
        <v>84</v>
      </c>
      <c r="G91" t="s">
        <v>90</v>
      </c>
      <c r="H91" s="8">
        <v>43251</v>
      </c>
      <c r="I91" t="s">
        <v>15</v>
      </c>
      <c r="J91" t="s">
        <v>16</v>
      </c>
      <c r="K91" t="s">
        <v>35</v>
      </c>
      <c r="L91" t="s">
        <v>36</v>
      </c>
      <c r="M91" s="9">
        <v>178.5</v>
      </c>
      <c r="N91">
        <v>14</v>
      </c>
      <c r="O91" s="10">
        <f>Table1[[#This Row],[Precio unitario]]*Table1[[#This Row],[Cantidad]]</f>
        <v>2499</v>
      </c>
      <c r="P91" s="9">
        <v>237.405</v>
      </c>
    </row>
    <row r="92" spans="1:16" x14ac:dyDescent="0.35">
      <c r="A92" s="7">
        <v>1100</v>
      </c>
      <c r="B92" s="12">
        <v>43223</v>
      </c>
      <c r="C92" s="7">
        <v>3</v>
      </c>
      <c r="D92" t="s">
        <v>37</v>
      </c>
      <c r="E92" t="s">
        <v>69</v>
      </c>
      <c r="F92" t="s">
        <v>87</v>
      </c>
      <c r="G92" t="s">
        <v>91</v>
      </c>
      <c r="H92" s="8">
        <v>43225</v>
      </c>
      <c r="I92" t="s">
        <v>15</v>
      </c>
      <c r="J92" t="s">
        <v>38</v>
      </c>
      <c r="K92" t="s">
        <v>39</v>
      </c>
      <c r="L92" t="s">
        <v>40</v>
      </c>
      <c r="M92" s="9">
        <v>135.1</v>
      </c>
      <c r="N92">
        <v>43</v>
      </c>
      <c r="O92" s="10">
        <f>Table1[[#This Row],[Precio unitario]]*Table1[[#This Row],[Cantidad]]</f>
        <v>5809.3</v>
      </c>
      <c r="P92" s="9">
        <v>592.54860000000008</v>
      </c>
    </row>
    <row r="93" spans="1:16" x14ac:dyDescent="0.35">
      <c r="A93" s="7">
        <v>1101</v>
      </c>
      <c r="B93" s="12">
        <v>43226</v>
      </c>
      <c r="C93" s="7">
        <v>6</v>
      </c>
      <c r="D93" t="s">
        <v>41</v>
      </c>
      <c r="E93" t="s">
        <v>78</v>
      </c>
      <c r="F93" t="s">
        <v>86</v>
      </c>
      <c r="G93" t="s">
        <v>92</v>
      </c>
      <c r="H93" s="8">
        <v>43228</v>
      </c>
      <c r="I93" t="s">
        <v>15</v>
      </c>
      <c r="J93" t="s">
        <v>23</v>
      </c>
      <c r="K93" t="s">
        <v>42</v>
      </c>
      <c r="L93" t="s">
        <v>43</v>
      </c>
      <c r="M93" s="9">
        <v>560</v>
      </c>
      <c r="N93">
        <v>63</v>
      </c>
      <c r="O93" s="10">
        <f>Table1[[#This Row],[Precio unitario]]*Table1[[#This Row],[Cantidad]]</f>
        <v>35280</v>
      </c>
      <c r="P93" s="9">
        <v>3563.28</v>
      </c>
    </row>
    <row r="94" spans="1:16" x14ac:dyDescent="0.35">
      <c r="A94" s="7">
        <v>1102</v>
      </c>
      <c r="B94" s="12">
        <v>43248</v>
      </c>
      <c r="C94" s="7">
        <v>28</v>
      </c>
      <c r="D94" t="s">
        <v>44</v>
      </c>
      <c r="E94" t="s">
        <v>79</v>
      </c>
      <c r="F94" t="s">
        <v>82</v>
      </c>
      <c r="G94" t="s">
        <v>30</v>
      </c>
      <c r="H94" s="8">
        <v>43250</v>
      </c>
      <c r="I94" t="s">
        <v>31</v>
      </c>
      <c r="J94" t="s">
        <v>16</v>
      </c>
      <c r="K94" t="s">
        <v>28</v>
      </c>
      <c r="L94" t="s">
        <v>18</v>
      </c>
      <c r="M94" s="9">
        <v>644</v>
      </c>
      <c r="N94">
        <v>36</v>
      </c>
      <c r="O94" s="10">
        <f>Table1[[#This Row],[Precio unitario]]*Table1[[#This Row],[Cantidad]]</f>
        <v>23184</v>
      </c>
      <c r="P94" s="9">
        <v>2318.4000000000005</v>
      </c>
    </row>
    <row r="95" spans="1:16" x14ac:dyDescent="0.35">
      <c r="A95" s="7">
        <v>1103</v>
      </c>
      <c r="B95" s="12">
        <v>43228</v>
      </c>
      <c r="C95" s="7">
        <v>8</v>
      </c>
      <c r="D95" t="s">
        <v>29</v>
      </c>
      <c r="E95" t="s">
        <v>75</v>
      </c>
      <c r="F95" t="s">
        <v>88</v>
      </c>
      <c r="G95" t="s">
        <v>90</v>
      </c>
      <c r="H95" s="8">
        <v>43230</v>
      </c>
      <c r="I95" t="s">
        <v>31</v>
      </c>
      <c r="J95" t="s">
        <v>16</v>
      </c>
      <c r="K95" t="s">
        <v>35</v>
      </c>
      <c r="L95" t="s">
        <v>36</v>
      </c>
      <c r="M95" s="9">
        <v>178.5</v>
      </c>
      <c r="N95">
        <v>41</v>
      </c>
      <c r="O95" s="10">
        <f>Table1[[#This Row],[Precio unitario]]*Table1[[#This Row],[Cantidad]]</f>
        <v>7318.5</v>
      </c>
      <c r="P95" s="9">
        <v>761.12400000000014</v>
      </c>
    </row>
    <row r="96" spans="1:16" x14ac:dyDescent="0.35">
      <c r="A96" s="7">
        <v>1104</v>
      </c>
      <c r="B96" s="12">
        <v>43230</v>
      </c>
      <c r="C96" s="7">
        <v>10</v>
      </c>
      <c r="D96" t="s">
        <v>45</v>
      </c>
      <c r="E96" t="s">
        <v>73</v>
      </c>
      <c r="F96" t="s">
        <v>85</v>
      </c>
      <c r="G96" t="s">
        <v>91</v>
      </c>
      <c r="H96" s="8">
        <v>43232</v>
      </c>
      <c r="I96" t="s">
        <v>15</v>
      </c>
      <c r="J96" t="s">
        <v>23</v>
      </c>
      <c r="K96" t="s">
        <v>46</v>
      </c>
      <c r="L96" t="s">
        <v>18</v>
      </c>
      <c r="M96" s="9">
        <v>41.86</v>
      </c>
      <c r="N96">
        <v>35</v>
      </c>
      <c r="O96" s="10">
        <f>Table1[[#This Row],[Precio unitario]]*Table1[[#This Row],[Cantidad]]</f>
        <v>1465.1</v>
      </c>
      <c r="P96" s="9">
        <v>143.57980000000001</v>
      </c>
    </row>
    <row r="97" spans="1:16" x14ac:dyDescent="0.35">
      <c r="A97" s="7">
        <v>1105</v>
      </c>
      <c r="B97" s="12">
        <v>43227</v>
      </c>
      <c r="C97" s="7">
        <v>7</v>
      </c>
      <c r="D97" t="s">
        <v>47</v>
      </c>
      <c r="E97" t="s">
        <v>70</v>
      </c>
      <c r="F97" t="s">
        <v>88</v>
      </c>
      <c r="G97" t="s">
        <v>92</v>
      </c>
      <c r="H97" s="8"/>
      <c r="K97" t="s">
        <v>28</v>
      </c>
      <c r="L97" t="s">
        <v>18</v>
      </c>
      <c r="M97" s="9">
        <v>644</v>
      </c>
      <c r="N97">
        <v>31</v>
      </c>
      <c r="O97" s="10">
        <f>Table1[[#This Row],[Precio unitario]]*Table1[[#This Row],[Cantidad]]</f>
        <v>19964</v>
      </c>
      <c r="P97" s="9">
        <v>1916.5439999999999</v>
      </c>
    </row>
    <row r="98" spans="1:16" x14ac:dyDescent="0.35">
      <c r="A98" s="7">
        <v>1106</v>
      </c>
      <c r="B98" s="12">
        <v>43230</v>
      </c>
      <c r="C98" s="7">
        <v>10</v>
      </c>
      <c r="D98" t="s">
        <v>45</v>
      </c>
      <c r="E98" t="s">
        <v>73</v>
      </c>
      <c r="F98" t="s">
        <v>85</v>
      </c>
      <c r="G98" t="s">
        <v>30</v>
      </c>
      <c r="H98" s="8">
        <v>43232</v>
      </c>
      <c r="I98" t="s">
        <v>22</v>
      </c>
      <c r="K98" t="s">
        <v>93</v>
      </c>
      <c r="L98" t="s">
        <v>48</v>
      </c>
      <c r="M98" s="9">
        <v>350</v>
      </c>
      <c r="N98">
        <v>52</v>
      </c>
      <c r="O98" s="10">
        <f>Table1[[#This Row],[Precio unitario]]*Table1[[#This Row],[Cantidad]]</f>
        <v>18200</v>
      </c>
      <c r="P98" s="9">
        <v>1729</v>
      </c>
    </row>
    <row r="99" spans="1:16" x14ac:dyDescent="0.35">
      <c r="A99" s="7">
        <v>1107</v>
      </c>
      <c r="B99" s="12">
        <v>43230</v>
      </c>
      <c r="C99" s="7">
        <v>10</v>
      </c>
      <c r="D99" t="s">
        <v>45</v>
      </c>
      <c r="E99" t="s">
        <v>73</v>
      </c>
      <c r="F99" t="s">
        <v>85</v>
      </c>
      <c r="G99" t="s">
        <v>90</v>
      </c>
      <c r="H99" s="8">
        <v>43232</v>
      </c>
      <c r="I99" t="s">
        <v>22</v>
      </c>
      <c r="K99" t="s">
        <v>49</v>
      </c>
      <c r="L99" t="s">
        <v>49</v>
      </c>
      <c r="M99" s="9">
        <v>308</v>
      </c>
      <c r="N99">
        <v>30</v>
      </c>
      <c r="O99" s="10">
        <f>Table1[[#This Row],[Precio unitario]]*Table1[[#This Row],[Cantidad]]</f>
        <v>9240</v>
      </c>
      <c r="P99" s="9">
        <v>942.48000000000013</v>
      </c>
    </row>
    <row r="100" spans="1:16" x14ac:dyDescent="0.35">
      <c r="A100" s="7">
        <v>1108</v>
      </c>
      <c r="B100" s="12">
        <v>43230</v>
      </c>
      <c r="C100" s="7">
        <v>10</v>
      </c>
      <c r="D100" t="s">
        <v>45</v>
      </c>
      <c r="E100" t="s">
        <v>73</v>
      </c>
      <c r="F100" t="s">
        <v>85</v>
      </c>
      <c r="G100" t="s">
        <v>91</v>
      </c>
      <c r="H100" s="8">
        <v>43232</v>
      </c>
      <c r="I100" t="s">
        <v>22</v>
      </c>
      <c r="K100" t="s">
        <v>32</v>
      </c>
      <c r="L100" t="s">
        <v>33</v>
      </c>
      <c r="M100" s="9">
        <v>128.79999999999998</v>
      </c>
      <c r="N100">
        <v>41</v>
      </c>
      <c r="O100" s="10">
        <f>Table1[[#This Row],[Precio unitario]]*Table1[[#This Row],[Cantidad]]</f>
        <v>5280.7999999999993</v>
      </c>
      <c r="P100" s="9">
        <v>538.64160000000004</v>
      </c>
    </row>
    <row r="101" spans="1:16" x14ac:dyDescent="0.35">
      <c r="A101" s="7">
        <v>1109</v>
      </c>
      <c r="B101" s="12">
        <v>43231</v>
      </c>
      <c r="C101" s="7">
        <v>11</v>
      </c>
      <c r="D101" t="s">
        <v>50</v>
      </c>
      <c r="E101" t="s">
        <v>71</v>
      </c>
      <c r="F101" t="s">
        <v>82</v>
      </c>
      <c r="G101" t="s">
        <v>92</v>
      </c>
      <c r="H101" s="8"/>
      <c r="I101" t="s">
        <v>31</v>
      </c>
      <c r="K101" t="s">
        <v>19</v>
      </c>
      <c r="L101" t="s">
        <v>20</v>
      </c>
      <c r="M101" s="9">
        <v>49</v>
      </c>
      <c r="N101">
        <v>44</v>
      </c>
      <c r="O101" s="10">
        <f>Table1[[#This Row],[Precio unitario]]*Table1[[#This Row],[Cantidad]]</f>
        <v>2156</v>
      </c>
      <c r="P101" s="9">
        <v>213.44400000000002</v>
      </c>
    </row>
    <row r="102" spans="1:16" x14ac:dyDescent="0.35">
      <c r="A102" s="7">
        <v>1110</v>
      </c>
      <c r="B102" s="12">
        <v>43231</v>
      </c>
      <c r="C102" s="7">
        <v>11</v>
      </c>
      <c r="D102" t="s">
        <v>50</v>
      </c>
      <c r="E102" t="s">
        <v>71</v>
      </c>
      <c r="F102" t="s">
        <v>82</v>
      </c>
      <c r="G102" t="s">
        <v>30</v>
      </c>
      <c r="H102" s="8"/>
      <c r="I102" t="s">
        <v>31</v>
      </c>
      <c r="K102" t="s">
        <v>46</v>
      </c>
      <c r="L102" t="s">
        <v>18</v>
      </c>
      <c r="M102" s="9">
        <v>41.86</v>
      </c>
      <c r="N102">
        <v>77</v>
      </c>
      <c r="O102" s="10">
        <f>Table1[[#This Row],[Precio unitario]]*Table1[[#This Row],[Cantidad]]</f>
        <v>3223.22</v>
      </c>
      <c r="P102" s="9">
        <v>322.32200000000006</v>
      </c>
    </row>
    <row r="103" spans="1:16" x14ac:dyDescent="0.35">
      <c r="A103" s="7">
        <v>1111</v>
      </c>
      <c r="B103" s="12">
        <v>43221</v>
      </c>
      <c r="C103" s="7">
        <v>1</v>
      </c>
      <c r="D103" t="s">
        <v>51</v>
      </c>
      <c r="E103" t="s">
        <v>80</v>
      </c>
      <c r="F103" t="s">
        <v>88</v>
      </c>
      <c r="G103" t="s">
        <v>90</v>
      </c>
      <c r="H103" s="8"/>
      <c r="K103" t="s">
        <v>27</v>
      </c>
      <c r="L103" t="s">
        <v>18</v>
      </c>
      <c r="M103" s="9">
        <v>252</v>
      </c>
      <c r="N103">
        <v>29</v>
      </c>
      <c r="O103" s="10">
        <f>Table1[[#This Row],[Precio unitario]]*Table1[[#This Row],[Cantidad]]</f>
        <v>7308</v>
      </c>
      <c r="P103" s="9">
        <v>738.10800000000006</v>
      </c>
    </row>
    <row r="104" spans="1:16" x14ac:dyDescent="0.35">
      <c r="A104" s="7">
        <v>1112</v>
      </c>
      <c r="B104" s="12">
        <v>43221</v>
      </c>
      <c r="C104" s="7">
        <v>1</v>
      </c>
      <c r="D104" t="s">
        <v>51</v>
      </c>
      <c r="E104" t="s">
        <v>80</v>
      </c>
      <c r="F104" t="s">
        <v>88</v>
      </c>
      <c r="G104" t="s">
        <v>91</v>
      </c>
      <c r="H104" s="8"/>
      <c r="K104" t="s">
        <v>28</v>
      </c>
      <c r="L104" t="s">
        <v>18</v>
      </c>
      <c r="M104" s="9">
        <v>644</v>
      </c>
      <c r="N104">
        <v>77</v>
      </c>
      <c r="O104" s="10">
        <f>Table1[[#This Row],[Precio unitario]]*Table1[[#This Row],[Cantidad]]</f>
        <v>49588</v>
      </c>
      <c r="P104" s="9">
        <v>5157.152000000001</v>
      </c>
    </row>
    <row r="105" spans="1:16" x14ac:dyDescent="0.35">
      <c r="A105" s="7">
        <v>1113</v>
      </c>
      <c r="B105" s="12">
        <v>43221</v>
      </c>
      <c r="C105" s="7">
        <v>1</v>
      </c>
      <c r="D105" t="s">
        <v>51</v>
      </c>
      <c r="E105" t="s">
        <v>80</v>
      </c>
      <c r="F105" t="s">
        <v>88</v>
      </c>
      <c r="G105" t="s">
        <v>92</v>
      </c>
      <c r="H105" s="8"/>
      <c r="K105" t="s">
        <v>46</v>
      </c>
      <c r="L105" t="s">
        <v>18</v>
      </c>
      <c r="M105" s="9">
        <v>41.86</v>
      </c>
      <c r="N105">
        <v>73</v>
      </c>
      <c r="O105" s="10">
        <f>Table1[[#This Row],[Precio unitario]]*Table1[[#This Row],[Cantidad]]</f>
        <v>3055.7799999999997</v>
      </c>
      <c r="P105" s="9">
        <v>305.57800000000003</v>
      </c>
    </row>
    <row r="106" spans="1:16" x14ac:dyDescent="0.35">
      <c r="A106" s="7">
        <v>1114</v>
      </c>
      <c r="B106" s="12">
        <v>43248</v>
      </c>
      <c r="C106" s="7">
        <v>28</v>
      </c>
      <c r="D106" t="s">
        <v>44</v>
      </c>
      <c r="E106" t="s">
        <v>79</v>
      </c>
      <c r="F106" t="s">
        <v>82</v>
      </c>
      <c r="G106" t="s">
        <v>30</v>
      </c>
      <c r="H106" s="8">
        <v>43250</v>
      </c>
      <c r="I106" t="s">
        <v>31</v>
      </c>
      <c r="J106" t="s">
        <v>23</v>
      </c>
      <c r="K106" t="s">
        <v>39</v>
      </c>
      <c r="L106" t="s">
        <v>40</v>
      </c>
      <c r="M106" s="9">
        <v>135.1</v>
      </c>
      <c r="N106">
        <v>74</v>
      </c>
      <c r="O106" s="10">
        <f>Table1[[#This Row],[Precio unitario]]*Table1[[#This Row],[Cantidad]]</f>
        <v>9997.4</v>
      </c>
      <c r="P106" s="9">
        <v>949.75300000000004</v>
      </c>
    </row>
    <row r="107" spans="1:16" x14ac:dyDescent="0.35">
      <c r="A107" s="7">
        <v>1115</v>
      </c>
      <c r="B107" s="12">
        <v>43248</v>
      </c>
      <c r="C107" s="7">
        <v>28</v>
      </c>
      <c r="D107" t="s">
        <v>44</v>
      </c>
      <c r="E107" t="s">
        <v>79</v>
      </c>
      <c r="F107" t="s">
        <v>82</v>
      </c>
      <c r="G107" t="s">
        <v>90</v>
      </c>
      <c r="H107" s="8">
        <v>43250</v>
      </c>
      <c r="I107" t="s">
        <v>31</v>
      </c>
      <c r="J107" t="s">
        <v>23</v>
      </c>
      <c r="K107" t="s">
        <v>52</v>
      </c>
      <c r="L107" t="s">
        <v>97</v>
      </c>
      <c r="M107" s="9">
        <v>257.59999999999997</v>
      </c>
      <c r="N107">
        <v>25</v>
      </c>
      <c r="O107" s="10">
        <f>Table1[[#This Row],[Precio unitario]]*Table1[[#This Row],[Cantidad]]</f>
        <v>6439.9999999999991</v>
      </c>
      <c r="P107" s="9">
        <v>650.44000000000005</v>
      </c>
    </row>
    <row r="108" spans="1:16" x14ac:dyDescent="0.35">
      <c r="A108" s="7">
        <v>1116</v>
      </c>
      <c r="B108" s="12">
        <v>43229</v>
      </c>
      <c r="C108" s="7">
        <v>9</v>
      </c>
      <c r="D108" t="s">
        <v>53</v>
      </c>
      <c r="E108" t="s">
        <v>72</v>
      </c>
      <c r="F108" t="s">
        <v>89</v>
      </c>
      <c r="G108" t="s">
        <v>91</v>
      </c>
      <c r="H108" s="8">
        <v>43231</v>
      </c>
      <c r="I108" t="s">
        <v>22</v>
      </c>
      <c r="J108" t="s">
        <v>16</v>
      </c>
      <c r="K108" t="s">
        <v>54</v>
      </c>
      <c r="L108" t="s">
        <v>55</v>
      </c>
      <c r="M108" s="9">
        <v>273</v>
      </c>
      <c r="N108">
        <v>82</v>
      </c>
      <c r="O108" s="10">
        <f>Table1[[#This Row],[Precio unitario]]*Table1[[#This Row],[Cantidad]]</f>
        <v>22386</v>
      </c>
      <c r="P108" s="9">
        <v>2149.056</v>
      </c>
    </row>
    <row r="109" spans="1:16" x14ac:dyDescent="0.35">
      <c r="A109" s="7">
        <v>1117</v>
      </c>
      <c r="B109" s="12">
        <v>43229</v>
      </c>
      <c r="C109" s="7">
        <v>9</v>
      </c>
      <c r="D109" t="s">
        <v>53</v>
      </c>
      <c r="E109" t="s">
        <v>72</v>
      </c>
      <c r="F109" t="s">
        <v>89</v>
      </c>
      <c r="G109" t="s">
        <v>92</v>
      </c>
      <c r="H109" s="8">
        <v>43231</v>
      </c>
      <c r="I109" t="s">
        <v>22</v>
      </c>
      <c r="J109" t="s">
        <v>16</v>
      </c>
      <c r="K109" t="s">
        <v>56</v>
      </c>
      <c r="L109" t="s">
        <v>57</v>
      </c>
      <c r="M109" s="9">
        <v>487.19999999999993</v>
      </c>
      <c r="N109">
        <v>37</v>
      </c>
      <c r="O109" s="10">
        <f>Table1[[#This Row],[Precio unitario]]*Table1[[#This Row],[Cantidad]]</f>
        <v>18026.399999999998</v>
      </c>
      <c r="P109" s="9">
        <v>1856.7191999999998</v>
      </c>
    </row>
    <row r="110" spans="1:16" x14ac:dyDescent="0.35">
      <c r="A110" s="7">
        <v>1118</v>
      </c>
      <c r="B110" s="12">
        <v>43226</v>
      </c>
      <c r="C110" s="7">
        <v>6</v>
      </c>
      <c r="D110" t="s">
        <v>41</v>
      </c>
      <c r="E110" t="s">
        <v>78</v>
      </c>
      <c r="F110" t="s">
        <v>86</v>
      </c>
      <c r="G110" t="s">
        <v>30</v>
      </c>
      <c r="H110" s="8">
        <v>43228</v>
      </c>
      <c r="I110" t="s">
        <v>15</v>
      </c>
      <c r="J110" t="s">
        <v>23</v>
      </c>
      <c r="K110" t="s">
        <v>17</v>
      </c>
      <c r="L110" t="s">
        <v>18</v>
      </c>
      <c r="M110" s="9">
        <v>196</v>
      </c>
      <c r="N110">
        <v>84</v>
      </c>
      <c r="O110" s="10">
        <f>Table1[[#This Row],[Precio unitario]]*Table1[[#This Row],[Cantidad]]</f>
        <v>16464</v>
      </c>
      <c r="P110" s="9">
        <v>1580.5440000000001</v>
      </c>
    </row>
    <row r="111" spans="1:16" x14ac:dyDescent="0.35">
      <c r="A111" s="7">
        <v>1119</v>
      </c>
      <c r="B111" s="12">
        <v>43228</v>
      </c>
      <c r="C111" s="7">
        <v>8</v>
      </c>
      <c r="D111" t="s">
        <v>29</v>
      </c>
      <c r="E111" t="s">
        <v>75</v>
      </c>
      <c r="F111" t="s">
        <v>88</v>
      </c>
      <c r="G111" t="s">
        <v>90</v>
      </c>
      <c r="H111" s="8">
        <v>43230</v>
      </c>
      <c r="I111" t="s">
        <v>15</v>
      </c>
      <c r="J111" t="s">
        <v>16</v>
      </c>
      <c r="K111" t="s">
        <v>42</v>
      </c>
      <c r="L111" t="s">
        <v>43</v>
      </c>
      <c r="M111" s="9">
        <v>560</v>
      </c>
      <c r="N111">
        <v>73</v>
      </c>
      <c r="O111" s="10">
        <f>Table1[[#This Row],[Precio unitario]]*Table1[[#This Row],[Cantidad]]</f>
        <v>40880</v>
      </c>
      <c r="P111" s="9">
        <v>3965.36</v>
      </c>
    </row>
    <row r="112" spans="1:16" x14ac:dyDescent="0.35">
      <c r="A112" s="7">
        <v>1120</v>
      </c>
      <c r="B112" s="12">
        <v>43228</v>
      </c>
      <c r="C112" s="7">
        <v>8</v>
      </c>
      <c r="D112" t="s">
        <v>29</v>
      </c>
      <c r="E112" t="s">
        <v>75</v>
      </c>
      <c r="F112" t="s">
        <v>88</v>
      </c>
      <c r="G112" t="s">
        <v>91</v>
      </c>
      <c r="H112" s="8">
        <v>43230</v>
      </c>
      <c r="I112" t="s">
        <v>15</v>
      </c>
      <c r="J112" t="s">
        <v>16</v>
      </c>
      <c r="K112" t="s">
        <v>32</v>
      </c>
      <c r="L112" t="s">
        <v>33</v>
      </c>
      <c r="M112" s="9">
        <v>128.79999999999998</v>
      </c>
      <c r="N112">
        <v>51</v>
      </c>
      <c r="O112" s="10">
        <f>Table1[[#This Row],[Precio unitario]]*Table1[[#This Row],[Cantidad]]</f>
        <v>6568.7999999999993</v>
      </c>
      <c r="P112" s="9">
        <v>624.03599999999994</v>
      </c>
    </row>
    <row r="113" spans="1:16" x14ac:dyDescent="0.35">
      <c r="A113" s="7">
        <v>1121</v>
      </c>
      <c r="B113" s="12">
        <v>43245</v>
      </c>
      <c r="C113" s="7">
        <v>25</v>
      </c>
      <c r="D113" t="s">
        <v>59</v>
      </c>
      <c r="E113" t="s">
        <v>73</v>
      </c>
      <c r="F113" t="s">
        <v>85</v>
      </c>
      <c r="G113" t="s">
        <v>92</v>
      </c>
      <c r="H113" s="8">
        <v>43247</v>
      </c>
      <c r="I113" t="s">
        <v>22</v>
      </c>
      <c r="J113" t="s">
        <v>38</v>
      </c>
      <c r="K113" t="s">
        <v>94</v>
      </c>
      <c r="L113" t="s">
        <v>33</v>
      </c>
      <c r="M113" s="9">
        <v>140</v>
      </c>
      <c r="N113">
        <v>66</v>
      </c>
      <c r="O113" s="10">
        <f>Table1[[#This Row],[Precio unitario]]*Table1[[#This Row],[Cantidad]]</f>
        <v>9240</v>
      </c>
      <c r="P113" s="9">
        <v>960.96</v>
      </c>
    </row>
    <row r="114" spans="1:16" x14ac:dyDescent="0.35">
      <c r="A114" s="7">
        <v>1122</v>
      </c>
      <c r="B114" s="12">
        <v>43246</v>
      </c>
      <c r="C114" s="7">
        <v>26</v>
      </c>
      <c r="D114" t="s">
        <v>60</v>
      </c>
      <c r="E114" t="s">
        <v>71</v>
      </c>
      <c r="F114" t="s">
        <v>82</v>
      </c>
      <c r="G114" t="s">
        <v>30</v>
      </c>
      <c r="H114" s="8">
        <v>43248</v>
      </c>
      <c r="I114" t="s">
        <v>31</v>
      </c>
      <c r="J114" t="s">
        <v>23</v>
      </c>
      <c r="K114" t="s">
        <v>64</v>
      </c>
      <c r="L114" t="s">
        <v>65</v>
      </c>
      <c r="M114" s="9">
        <v>298.90000000000003</v>
      </c>
      <c r="N114">
        <v>36</v>
      </c>
      <c r="O114" s="10">
        <f>Table1[[#This Row],[Precio unitario]]*Table1[[#This Row],[Cantidad]]</f>
        <v>10760.400000000001</v>
      </c>
      <c r="P114" s="9">
        <v>1043.7588000000001</v>
      </c>
    </row>
    <row r="115" spans="1:16" x14ac:dyDescent="0.35">
      <c r="A115" s="7">
        <v>1123</v>
      </c>
      <c r="B115" s="12">
        <v>43246</v>
      </c>
      <c r="C115" s="7">
        <v>26</v>
      </c>
      <c r="D115" t="s">
        <v>60</v>
      </c>
      <c r="E115" t="s">
        <v>71</v>
      </c>
      <c r="F115" t="s">
        <v>82</v>
      </c>
      <c r="G115" t="s">
        <v>90</v>
      </c>
      <c r="H115" s="8">
        <v>43248</v>
      </c>
      <c r="I115" t="s">
        <v>31</v>
      </c>
      <c r="J115" t="s">
        <v>23</v>
      </c>
      <c r="K115" t="s">
        <v>39</v>
      </c>
      <c r="L115" t="s">
        <v>40</v>
      </c>
      <c r="M115" s="9">
        <v>135.1</v>
      </c>
      <c r="N115">
        <v>87</v>
      </c>
      <c r="O115" s="10">
        <f>Table1[[#This Row],[Precio unitario]]*Table1[[#This Row],[Cantidad]]</f>
        <v>11753.699999999999</v>
      </c>
      <c r="P115" s="9">
        <v>1222.3848</v>
      </c>
    </row>
    <row r="116" spans="1:16" x14ac:dyDescent="0.35">
      <c r="A116" s="7">
        <v>1124</v>
      </c>
      <c r="B116" s="12">
        <v>43246</v>
      </c>
      <c r="C116" s="7">
        <v>26</v>
      </c>
      <c r="D116" t="s">
        <v>60</v>
      </c>
      <c r="E116" t="s">
        <v>71</v>
      </c>
      <c r="F116" t="s">
        <v>82</v>
      </c>
      <c r="G116" t="s">
        <v>91</v>
      </c>
      <c r="H116" s="8">
        <v>43248</v>
      </c>
      <c r="I116" t="s">
        <v>31</v>
      </c>
      <c r="J116" t="s">
        <v>23</v>
      </c>
      <c r="K116" t="s">
        <v>52</v>
      </c>
      <c r="L116" t="s">
        <v>97</v>
      </c>
      <c r="M116" s="9">
        <v>257.59999999999997</v>
      </c>
      <c r="N116">
        <v>64</v>
      </c>
      <c r="O116" s="10">
        <f>Table1[[#This Row],[Precio unitario]]*Table1[[#This Row],[Cantidad]]</f>
        <v>16486.399999999998</v>
      </c>
      <c r="P116" s="9">
        <v>1615.6671999999999</v>
      </c>
    </row>
    <row r="117" spans="1:16" x14ac:dyDescent="0.35">
      <c r="A117" s="7">
        <v>1125</v>
      </c>
      <c r="B117" s="12">
        <v>43249</v>
      </c>
      <c r="C117" s="7">
        <v>29</v>
      </c>
      <c r="D117" t="s">
        <v>34</v>
      </c>
      <c r="E117" t="s">
        <v>76</v>
      </c>
      <c r="F117" t="s">
        <v>84</v>
      </c>
      <c r="G117" t="s">
        <v>92</v>
      </c>
      <c r="H117" s="8">
        <v>43251</v>
      </c>
      <c r="I117" t="s">
        <v>15</v>
      </c>
      <c r="J117" t="s">
        <v>16</v>
      </c>
      <c r="K117" t="s">
        <v>17</v>
      </c>
      <c r="L117" t="s">
        <v>18</v>
      </c>
      <c r="M117" s="9">
        <v>196</v>
      </c>
      <c r="N117">
        <v>21</v>
      </c>
      <c r="O117" s="10">
        <f>Table1[[#This Row],[Precio unitario]]*Table1[[#This Row],[Cantidad]]</f>
        <v>4116</v>
      </c>
      <c r="P117" s="9">
        <v>432.18000000000006</v>
      </c>
    </row>
    <row r="118" spans="1:16" x14ac:dyDescent="0.35">
      <c r="A118" s="7">
        <v>1126</v>
      </c>
      <c r="B118" s="12">
        <v>43226</v>
      </c>
      <c r="C118" s="7">
        <v>6</v>
      </c>
      <c r="D118" t="s">
        <v>41</v>
      </c>
      <c r="E118" t="s">
        <v>78</v>
      </c>
      <c r="F118" t="s">
        <v>86</v>
      </c>
      <c r="G118" t="s">
        <v>30</v>
      </c>
      <c r="H118" s="8">
        <v>43228</v>
      </c>
      <c r="I118" t="s">
        <v>31</v>
      </c>
      <c r="J118" t="s">
        <v>16</v>
      </c>
      <c r="K118" t="s">
        <v>35</v>
      </c>
      <c r="L118" t="s">
        <v>36</v>
      </c>
      <c r="M118" s="9">
        <v>178.5</v>
      </c>
      <c r="N118">
        <v>19</v>
      </c>
      <c r="O118" s="10">
        <f>Table1[[#This Row],[Precio unitario]]*Table1[[#This Row],[Cantidad]]</f>
        <v>3391.5</v>
      </c>
      <c r="P118" s="9">
        <v>342.54149999999998</v>
      </c>
    </row>
    <row r="119" spans="1:16" x14ac:dyDescent="0.35">
      <c r="A119" s="7">
        <v>1128</v>
      </c>
      <c r="B119" s="12">
        <v>43224</v>
      </c>
      <c r="C119" s="7">
        <v>4</v>
      </c>
      <c r="D119" t="s">
        <v>21</v>
      </c>
      <c r="E119" t="s">
        <v>77</v>
      </c>
      <c r="F119" t="s">
        <v>83</v>
      </c>
      <c r="G119" t="s">
        <v>90</v>
      </c>
      <c r="H119" s="8">
        <v>43226</v>
      </c>
      <c r="I119" t="s">
        <v>22</v>
      </c>
      <c r="J119" t="s">
        <v>23</v>
      </c>
      <c r="K119" t="s">
        <v>66</v>
      </c>
      <c r="L119" t="s">
        <v>48</v>
      </c>
      <c r="M119" s="9">
        <v>1134</v>
      </c>
      <c r="N119">
        <v>23</v>
      </c>
      <c r="O119" s="10">
        <f>Table1[[#This Row],[Precio unitario]]*Table1[[#This Row],[Cantidad]]</f>
        <v>26082</v>
      </c>
      <c r="P119" s="9">
        <v>2738.61</v>
      </c>
    </row>
    <row r="120" spans="1:16" x14ac:dyDescent="0.35">
      <c r="A120" s="7">
        <v>1129</v>
      </c>
      <c r="B120" s="12">
        <v>43224</v>
      </c>
      <c r="C120" s="7">
        <v>4</v>
      </c>
      <c r="D120" t="s">
        <v>21</v>
      </c>
      <c r="E120" t="s">
        <v>77</v>
      </c>
      <c r="F120" t="s">
        <v>83</v>
      </c>
      <c r="G120" t="s">
        <v>91</v>
      </c>
      <c r="H120" s="8">
        <v>43226</v>
      </c>
      <c r="I120" t="s">
        <v>22</v>
      </c>
      <c r="J120" t="s">
        <v>23</v>
      </c>
      <c r="K120" t="s">
        <v>67</v>
      </c>
      <c r="L120" t="s">
        <v>98</v>
      </c>
      <c r="M120" s="9">
        <v>98</v>
      </c>
      <c r="N120">
        <v>72</v>
      </c>
      <c r="O120" s="10">
        <f>Table1[[#This Row],[Precio unitario]]*Table1[[#This Row],[Cantidad]]</f>
        <v>7056</v>
      </c>
      <c r="P120" s="9">
        <v>726.76800000000003</v>
      </c>
    </row>
    <row r="121" spans="1:16" x14ac:dyDescent="0.35">
      <c r="A121" s="7">
        <v>1131</v>
      </c>
      <c r="B121" s="12">
        <v>43228</v>
      </c>
      <c r="C121" s="7">
        <v>8</v>
      </c>
      <c r="D121" t="s">
        <v>29</v>
      </c>
      <c r="E121" t="s">
        <v>75</v>
      </c>
      <c r="F121" t="s">
        <v>88</v>
      </c>
      <c r="G121" t="s">
        <v>92</v>
      </c>
      <c r="H121" s="8">
        <v>43230</v>
      </c>
      <c r="I121" t="s">
        <v>31</v>
      </c>
      <c r="J121" t="s">
        <v>23</v>
      </c>
      <c r="K121" t="s">
        <v>56</v>
      </c>
      <c r="L121" t="s">
        <v>57</v>
      </c>
      <c r="M121" s="9">
        <v>487.19999999999993</v>
      </c>
      <c r="N121">
        <v>22</v>
      </c>
      <c r="O121" s="10">
        <f>Table1[[#This Row],[Precio unitario]]*Table1[[#This Row],[Cantidad]]</f>
        <v>10718.399999999998</v>
      </c>
      <c r="P121" s="9">
        <v>1050.4031999999997</v>
      </c>
    </row>
    <row r="122" spans="1:16" x14ac:dyDescent="0.35">
      <c r="A122" s="7">
        <v>1134</v>
      </c>
      <c r="B122" s="12">
        <v>43223</v>
      </c>
      <c r="C122" s="7">
        <v>3</v>
      </c>
      <c r="D122" t="s">
        <v>37</v>
      </c>
      <c r="E122" t="s">
        <v>69</v>
      </c>
      <c r="F122" t="s">
        <v>87</v>
      </c>
      <c r="G122" t="s">
        <v>30</v>
      </c>
      <c r="H122" s="8">
        <v>43225</v>
      </c>
      <c r="I122" t="s">
        <v>15</v>
      </c>
      <c r="J122" t="s">
        <v>38</v>
      </c>
      <c r="K122" t="s">
        <v>95</v>
      </c>
      <c r="L122" t="s">
        <v>49</v>
      </c>
      <c r="M122" s="9">
        <v>140</v>
      </c>
      <c r="N122">
        <v>82</v>
      </c>
      <c r="O122" s="10">
        <f>Table1[[#This Row],[Precio unitario]]*Table1[[#This Row],[Cantidad]]</f>
        <v>11480</v>
      </c>
      <c r="P122" s="9">
        <v>1193.92</v>
      </c>
    </row>
    <row r="123" spans="1:16" x14ac:dyDescent="0.35">
      <c r="A123" s="7">
        <v>1135</v>
      </c>
      <c r="B123" s="12">
        <v>43223</v>
      </c>
      <c r="C123" s="7">
        <v>3</v>
      </c>
      <c r="D123" t="s">
        <v>37</v>
      </c>
      <c r="E123" t="s">
        <v>69</v>
      </c>
      <c r="F123" t="s">
        <v>87</v>
      </c>
      <c r="G123" t="s">
        <v>90</v>
      </c>
      <c r="H123" s="8">
        <v>43225</v>
      </c>
      <c r="I123" t="s">
        <v>15</v>
      </c>
      <c r="J123" t="s">
        <v>38</v>
      </c>
      <c r="K123" t="s">
        <v>42</v>
      </c>
      <c r="L123" t="s">
        <v>43</v>
      </c>
      <c r="M123" s="9">
        <v>560</v>
      </c>
      <c r="N123">
        <v>98</v>
      </c>
      <c r="O123" s="10">
        <f>Table1[[#This Row],[Precio unitario]]*Table1[[#This Row],[Cantidad]]</f>
        <v>54880</v>
      </c>
      <c r="P123" s="9">
        <v>5762.4000000000005</v>
      </c>
    </row>
    <row r="124" spans="1:16" x14ac:dyDescent="0.35">
      <c r="A124" s="7">
        <v>1138</v>
      </c>
      <c r="B124" s="12">
        <v>43258</v>
      </c>
      <c r="C124" s="7">
        <v>7</v>
      </c>
      <c r="D124" t="s">
        <v>47</v>
      </c>
      <c r="E124" t="s">
        <v>70</v>
      </c>
      <c r="F124" t="s">
        <v>88</v>
      </c>
      <c r="G124" t="s">
        <v>91</v>
      </c>
      <c r="H124" s="8"/>
      <c r="K124" t="s">
        <v>28</v>
      </c>
      <c r="L124" t="s">
        <v>18</v>
      </c>
      <c r="M124" s="9">
        <v>644</v>
      </c>
      <c r="N124">
        <v>71</v>
      </c>
      <c r="O124" s="10">
        <f>Table1[[#This Row],[Precio unitario]]*Table1[[#This Row],[Cantidad]]</f>
        <v>45724</v>
      </c>
      <c r="P124" s="9">
        <v>4343.78</v>
      </c>
    </row>
    <row r="125" spans="1:16" x14ac:dyDescent="0.35">
      <c r="A125" s="7">
        <v>1139</v>
      </c>
      <c r="B125" s="12">
        <v>43261</v>
      </c>
      <c r="C125" s="7">
        <v>10</v>
      </c>
      <c r="D125" t="s">
        <v>45</v>
      </c>
      <c r="E125" t="s">
        <v>73</v>
      </c>
      <c r="F125" t="s">
        <v>85</v>
      </c>
      <c r="G125" t="s">
        <v>92</v>
      </c>
      <c r="H125" s="8">
        <v>43263</v>
      </c>
      <c r="I125" t="s">
        <v>22</v>
      </c>
      <c r="K125" t="s">
        <v>93</v>
      </c>
      <c r="L125" t="s">
        <v>48</v>
      </c>
      <c r="M125" s="9">
        <v>350</v>
      </c>
      <c r="N125">
        <v>40</v>
      </c>
      <c r="O125" s="10">
        <f>Table1[[#This Row],[Precio unitario]]*Table1[[#This Row],[Cantidad]]</f>
        <v>14000</v>
      </c>
      <c r="P125" s="9">
        <v>1470</v>
      </c>
    </row>
    <row r="126" spans="1:16" x14ac:dyDescent="0.35">
      <c r="A126" s="7">
        <v>1140</v>
      </c>
      <c r="B126" s="12">
        <v>43261</v>
      </c>
      <c r="C126" s="7">
        <v>10</v>
      </c>
      <c r="D126" t="s">
        <v>45</v>
      </c>
      <c r="E126" t="s">
        <v>73</v>
      </c>
      <c r="F126" t="s">
        <v>85</v>
      </c>
      <c r="G126" t="s">
        <v>30</v>
      </c>
      <c r="H126" s="8">
        <v>43263</v>
      </c>
      <c r="I126" t="s">
        <v>22</v>
      </c>
      <c r="K126" t="s">
        <v>49</v>
      </c>
      <c r="L126" t="s">
        <v>49</v>
      </c>
      <c r="M126" s="9">
        <v>308</v>
      </c>
      <c r="N126">
        <v>80</v>
      </c>
      <c r="O126" s="10">
        <f>Table1[[#This Row],[Precio unitario]]*Table1[[#This Row],[Cantidad]]</f>
        <v>24640</v>
      </c>
      <c r="P126" s="9">
        <v>2414.7199999999998</v>
      </c>
    </row>
    <row r="127" spans="1:16" x14ac:dyDescent="0.35">
      <c r="A127" s="7">
        <v>1141</v>
      </c>
      <c r="B127" s="12">
        <v>43261</v>
      </c>
      <c r="C127" s="7">
        <v>10</v>
      </c>
      <c r="D127" t="s">
        <v>45</v>
      </c>
      <c r="E127" t="s">
        <v>73</v>
      </c>
      <c r="F127" t="s">
        <v>85</v>
      </c>
      <c r="G127" t="s">
        <v>90</v>
      </c>
      <c r="H127" s="8">
        <v>43263</v>
      </c>
      <c r="I127" t="s">
        <v>22</v>
      </c>
      <c r="K127" t="s">
        <v>32</v>
      </c>
      <c r="L127" t="s">
        <v>33</v>
      </c>
      <c r="M127" s="9">
        <v>128.79999999999998</v>
      </c>
      <c r="N127">
        <v>38</v>
      </c>
      <c r="O127" s="10">
        <f>Table1[[#This Row],[Precio unitario]]*Table1[[#This Row],[Cantidad]]</f>
        <v>4894.3999999999996</v>
      </c>
      <c r="P127" s="9">
        <v>464.96799999999996</v>
      </c>
    </row>
    <row r="128" spans="1:16" x14ac:dyDescent="0.35">
      <c r="A128" s="7">
        <v>1142</v>
      </c>
      <c r="B128" s="12">
        <v>43262</v>
      </c>
      <c r="C128" s="7">
        <v>11</v>
      </c>
      <c r="D128" t="s">
        <v>50</v>
      </c>
      <c r="E128" t="s">
        <v>71</v>
      </c>
      <c r="F128" t="s">
        <v>82</v>
      </c>
      <c r="G128" t="s">
        <v>91</v>
      </c>
      <c r="H128" s="8"/>
      <c r="I128" t="s">
        <v>31</v>
      </c>
      <c r="K128" t="s">
        <v>19</v>
      </c>
      <c r="L128" t="s">
        <v>20</v>
      </c>
      <c r="M128" s="9">
        <v>49</v>
      </c>
      <c r="N128">
        <v>28</v>
      </c>
      <c r="O128" s="10">
        <f>Table1[[#This Row],[Precio unitario]]*Table1[[#This Row],[Cantidad]]</f>
        <v>1372</v>
      </c>
      <c r="P128" s="9">
        <v>144.06</v>
      </c>
    </row>
    <row r="129" spans="1:16" x14ac:dyDescent="0.35">
      <c r="A129" s="7">
        <v>1143</v>
      </c>
      <c r="B129" s="12">
        <v>43262</v>
      </c>
      <c r="C129" s="7">
        <v>11</v>
      </c>
      <c r="D129" t="s">
        <v>50</v>
      </c>
      <c r="E129" t="s">
        <v>71</v>
      </c>
      <c r="F129" t="s">
        <v>82</v>
      </c>
      <c r="G129" t="s">
        <v>92</v>
      </c>
      <c r="H129" s="8"/>
      <c r="I129" t="s">
        <v>31</v>
      </c>
      <c r="K129" t="s">
        <v>46</v>
      </c>
      <c r="L129" t="s">
        <v>18</v>
      </c>
      <c r="M129" s="9">
        <v>41.86</v>
      </c>
      <c r="N129">
        <v>60</v>
      </c>
      <c r="O129" s="10">
        <f>Table1[[#This Row],[Precio unitario]]*Table1[[#This Row],[Cantidad]]</f>
        <v>2511.6</v>
      </c>
      <c r="P129" s="9">
        <v>246.13680000000005</v>
      </c>
    </row>
    <row r="130" spans="1:16" x14ac:dyDescent="0.35">
      <c r="A130" s="7">
        <v>1144</v>
      </c>
      <c r="B130" s="12">
        <v>43252</v>
      </c>
      <c r="C130" s="7">
        <v>1</v>
      </c>
      <c r="D130" t="s">
        <v>51</v>
      </c>
      <c r="E130" t="s">
        <v>80</v>
      </c>
      <c r="F130" t="s">
        <v>88</v>
      </c>
      <c r="G130" t="s">
        <v>30</v>
      </c>
      <c r="H130" s="8"/>
      <c r="K130" t="s">
        <v>27</v>
      </c>
      <c r="L130" t="s">
        <v>18</v>
      </c>
      <c r="M130" s="9">
        <v>252</v>
      </c>
      <c r="N130">
        <v>33</v>
      </c>
      <c r="O130" s="10">
        <f>Table1[[#This Row],[Precio unitario]]*Table1[[#This Row],[Cantidad]]</f>
        <v>8316</v>
      </c>
      <c r="P130" s="9">
        <v>814.96800000000007</v>
      </c>
    </row>
    <row r="131" spans="1:16" x14ac:dyDescent="0.35">
      <c r="A131" s="7">
        <v>1145</v>
      </c>
      <c r="B131" s="12">
        <v>43252</v>
      </c>
      <c r="C131" s="7">
        <v>1</v>
      </c>
      <c r="D131" t="s">
        <v>51</v>
      </c>
      <c r="E131" t="s">
        <v>80</v>
      </c>
      <c r="F131" t="s">
        <v>88</v>
      </c>
      <c r="G131" t="s">
        <v>90</v>
      </c>
      <c r="H131" s="8"/>
      <c r="K131" t="s">
        <v>28</v>
      </c>
      <c r="L131" t="s">
        <v>18</v>
      </c>
      <c r="M131" s="9">
        <v>644</v>
      </c>
      <c r="N131">
        <v>22</v>
      </c>
      <c r="O131" s="10">
        <f>Table1[[#This Row],[Precio unitario]]*Table1[[#This Row],[Cantidad]]</f>
        <v>14168</v>
      </c>
      <c r="P131" s="9">
        <v>1416.8</v>
      </c>
    </row>
    <row r="132" spans="1:16" x14ac:dyDescent="0.35">
      <c r="A132" s="7">
        <v>1146</v>
      </c>
      <c r="B132" s="12">
        <v>43252</v>
      </c>
      <c r="C132" s="7">
        <v>1</v>
      </c>
      <c r="D132" t="s">
        <v>51</v>
      </c>
      <c r="E132" t="s">
        <v>80</v>
      </c>
      <c r="F132" t="s">
        <v>88</v>
      </c>
      <c r="G132" t="s">
        <v>91</v>
      </c>
      <c r="H132" s="8"/>
      <c r="K132" t="s">
        <v>46</v>
      </c>
      <c r="L132" t="s">
        <v>18</v>
      </c>
      <c r="M132" s="9">
        <v>41.86</v>
      </c>
      <c r="N132">
        <v>51</v>
      </c>
      <c r="O132" s="10">
        <f>Table1[[#This Row],[Precio unitario]]*Table1[[#This Row],[Cantidad]]</f>
        <v>2134.86</v>
      </c>
      <c r="P132" s="9">
        <v>209.21628000000004</v>
      </c>
    </row>
    <row r="133" spans="1:16" x14ac:dyDescent="0.35">
      <c r="A133" s="7">
        <v>1147</v>
      </c>
      <c r="B133" s="12">
        <v>43279</v>
      </c>
      <c r="C133" s="7">
        <v>28</v>
      </c>
      <c r="D133" t="s">
        <v>44</v>
      </c>
      <c r="E133" t="s">
        <v>79</v>
      </c>
      <c r="F133" t="s">
        <v>82</v>
      </c>
      <c r="G133" t="s">
        <v>92</v>
      </c>
      <c r="H133" s="8">
        <v>43281</v>
      </c>
      <c r="I133" t="s">
        <v>31</v>
      </c>
      <c r="J133" t="s">
        <v>23</v>
      </c>
      <c r="K133" t="s">
        <v>39</v>
      </c>
      <c r="L133" t="s">
        <v>40</v>
      </c>
      <c r="M133" s="9">
        <v>135.1</v>
      </c>
      <c r="N133">
        <v>60</v>
      </c>
      <c r="O133" s="10">
        <f>Table1[[#This Row],[Precio unitario]]*Table1[[#This Row],[Cantidad]]</f>
        <v>8106</v>
      </c>
      <c r="P133" s="9">
        <v>802.49400000000003</v>
      </c>
    </row>
    <row r="134" spans="1:16" x14ac:dyDescent="0.35">
      <c r="A134" s="7">
        <v>1148</v>
      </c>
      <c r="B134" s="12">
        <v>43279</v>
      </c>
      <c r="C134" s="7">
        <v>28</v>
      </c>
      <c r="D134" t="s">
        <v>44</v>
      </c>
      <c r="E134" t="s">
        <v>79</v>
      </c>
      <c r="F134" t="s">
        <v>82</v>
      </c>
      <c r="G134" t="s">
        <v>30</v>
      </c>
      <c r="H134" s="8">
        <v>43281</v>
      </c>
      <c r="I134" t="s">
        <v>31</v>
      </c>
      <c r="J134" t="s">
        <v>23</v>
      </c>
      <c r="K134" t="s">
        <v>52</v>
      </c>
      <c r="L134" t="s">
        <v>97</v>
      </c>
      <c r="M134" s="9">
        <v>257.59999999999997</v>
      </c>
      <c r="N134">
        <v>98</v>
      </c>
      <c r="O134" s="10">
        <f>Table1[[#This Row],[Precio unitario]]*Table1[[#This Row],[Cantidad]]</f>
        <v>25244.799999999996</v>
      </c>
      <c r="P134" s="9">
        <v>2574.9695999999999</v>
      </c>
    </row>
    <row r="135" spans="1:16" x14ac:dyDescent="0.35">
      <c r="A135" s="7">
        <v>1149</v>
      </c>
      <c r="B135" s="12">
        <v>43260</v>
      </c>
      <c r="C135" s="7">
        <v>9</v>
      </c>
      <c r="D135" t="s">
        <v>53</v>
      </c>
      <c r="E135" t="s">
        <v>72</v>
      </c>
      <c r="F135" t="s">
        <v>89</v>
      </c>
      <c r="G135" t="s">
        <v>90</v>
      </c>
      <c r="H135" s="8">
        <v>43262</v>
      </c>
      <c r="I135" t="s">
        <v>22</v>
      </c>
      <c r="J135" t="s">
        <v>16</v>
      </c>
      <c r="K135" t="s">
        <v>54</v>
      </c>
      <c r="L135" t="s">
        <v>55</v>
      </c>
      <c r="M135" s="9">
        <v>273</v>
      </c>
      <c r="N135">
        <v>27</v>
      </c>
      <c r="O135" s="10">
        <f>Table1[[#This Row],[Precio unitario]]*Table1[[#This Row],[Cantidad]]</f>
        <v>7371</v>
      </c>
      <c r="P135" s="9">
        <v>714.98700000000008</v>
      </c>
    </row>
    <row r="136" spans="1:16" x14ac:dyDescent="0.35">
      <c r="A136" s="7">
        <v>1150</v>
      </c>
      <c r="B136" s="12">
        <v>43260</v>
      </c>
      <c r="C136" s="7">
        <v>9</v>
      </c>
      <c r="D136" t="s">
        <v>53</v>
      </c>
      <c r="E136" t="s">
        <v>72</v>
      </c>
      <c r="F136" t="s">
        <v>89</v>
      </c>
      <c r="G136" t="s">
        <v>91</v>
      </c>
      <c r="H136" s="8">
        <v>43262</v>
      </c>
      <c r="I136" t="s">
        <v>22</v>
      </c>
      <c r="J136" t="s">
        <v>16</v>
      </c>
      <c r="K136" t="s">
        <v>56</v>
      </c>
      <c r="L136" t="s">
        <v>57</v>
      </c>
      <c r="M136" s="9">
        <v>487.19999999999993</v>
      </c>
      <c r="N136">
        <v>88</v>
      </c>
      <c r="O136" s="10">
        <f>Table1[[#This Row],[Precio unitario]]*Table1[[#This Row],[Cantidad]]</f>
        <v>42873.599999999991</v>
      </c>
      <c r="P136" s="9">
        <v>4244.4863999999989</v>
      </c>
    </row>
    <row r="137" spans="1:16" x14ac:dyDescent="0.35">
      <c r="A137" s="7">
        <v>1151</v>
      </c>
      <c r="B137" s="12">
        <v>43257</v>
      </c>
      <c r="C137" s="7">
        <v>6</v>
      </c>
      <c r="D137" t="s">
        <v>41</v>
      </c>
      <c r="E137" t="s">
        <v>78</v>
      </c>
      <c r="F137" t="s">
        <v>86</v>
      </c>
      <c r="G137" t="s">
        <v>92</v>
      </c>
      <c r="H137" s="8">
        <v>43259</v>
      </c>
      <c r="I137" t="s">
        <v>15</v>
      </c>
      <c r="J137" t="s">
        <v>23</v>
      </c>
      <c r="K137" t="s">
        <v>17</v>
      </c>
      <c r="L137" t="s">
        <v>18</v>
      </c>
      <c r="M137" s="9">
        <v>196</v>
      </c>
      <c r="N137">
        <v>65</v>
      </c>
      <c r="O137" s="10">
        <f>Table1[[#This Row],[Precio unitario]]*Table1[[#This Row],[Cantidad]]</f>
        <v>12740</v>
      </c>
      <c r="P137" s="9">
        <v>1337.7</v>
      </c>
    </row>
    <row r="138" spans="1:16" x14ac:dyDescent="0.35">
      <c r="A138" s="7">
        <v>1152</v>
      </c>
      <c r="B138" s="12">
        <v>43259</v>
      </c>
      <c r="C138" s="7">
        <v>8</v>
      </c>
      <c r="D138" t="s">
        <v>29</v>
      </c>
      <c r="E138" t="s">
        <v>75</v>
      </c>
      <c r="F138" t="s">
        <v>88</v>
      </c>
      <c r="G138" t="s">
        <v>30</v>
      </c>
      <c r="H138" s="8">
        <v>43261</v>
      </c>
      <c r="I138" t="s">
        <v>15</v>
      </c>
      <c r="J138" t="s">
        <v>16</v>
      </c>
      <c r="K138" t="s">
        <v>42</v>
      </c>
      <c r="L138" t="s">
        <v>43</v>
      </c>
      <c r="M138" s="9">
        <v>560</v>
      </c>
      <c r="N138">
        <v>38</v>
      </c>
      <c r="O138" s="10">
        <f>Table1[[#This Row],[Precio unitario]]*Table1[[#This Row],[Cantidad]]</f>
        <v>21280</v>
      </c>
      <c r="P138" s="9">
        <v>2085.44</v>
      </c>
    </row>
    <row r="139" spans="1:16" x14ac:dyDescent="0.35">
      <c r="A139" s="7">
        <v>1153</v>
      </c>
      <c r="B139" s="12">
        <v>43259</v>
      </c>
      <c r="C139" s="7">
        <v>8</v>
      </c>
      <c r="D139" t="s">
        <v>29</v>
      </c>
      <c r="E139" t="s">
        <v>75</v>
      </c>
      <c r="F139" t="s">
        <v>88</v>
      </c>
      <c r="G139" t="s">
        <v>90</v>
      </c>
      <c r="H139" s="8">
        <v>43261</v>
      </c>
      <c r="I139" t="s">
        <v>15</v>
      </c>
      <c r="J139" t="s">
        <v>16</v>
      </c>
      <c r="K139" t="s">
        <v>32</v>
      </c>
      <c r="L139" t="s">
        <v>33</v>
      </c>
      <c r="M139" s="9">
        <v>128.79999999999998</v>
      </c>
      <c r="N139">
        <v>80</v>
      </c>
      <c r="O139" s="10">
        <f>Table1[[#This Row],[Precio unitario]]*Table1[[#This Row],[Cantidad]]</f>
        <v>10303.999999999998</v>
      </c>
      <c r="P139" s="9">
        <v>989.18400000000008</v>
      </c>
    </row>
    <row r="140" spans="1:16" x14ac:dyDescent="0.35">
      <c r="A140" s="7">
        <v>1154</v>
      </c>
      <c r="B140" s="12">
        <v>43276</v>
      </c>
      <c r="C140" s="7">
        <v>25</v>
      </c>
      <c r="D140" t="s">
        <v>59</v>
      </c>
      <c r="E140" t="s">
        <v>73</v>
      </c>
      <c r="F140" t="s">
        <v>85</v>
      </c>
      <c r="G140" t="s">
        <v>91</v>
      </c>
      <c r="H140" s="8">
        <v>43278</v>
      </c>
      <c r="I140" t="s">
        <v>22</v>
      </c>
      <c r="J140" t="s">
        <v>38</v>
      </c>
      <c r="K140" t="s">
        <v>94</v>
      </c>
      <c r="L140" t="s">
        <v>33</v>
      </c>
      <c r="M140" s="9">
        <v>140</v>
      </c>
      <c r="N140">
        <v>49</v>
      </c>
      <c r="O140" s="10">
        <f>Table1[[#This Row],[Precio unitario]]*Table1[[#This Row],[Cantidad]]</f>
        <v>6860</v>
      </c>
      <c r="P140" s="9">
        <v>658.56</v>
      </c>
    </row>
    <row r="141" spans="1:16" x14ac:dyDescent="0.35">
      <c r="A141" s="7">
        <v>1155</v>
      </c>
      <c r="B141" s="12">
        <v>43277</v>
      </c>
      <c r="C141" s="7">
        <v>26</v>
      </c>
      <c r="D141" t="s">
        <v>60</v>
      </c>
      <c r="E141" t="s">
        <v>71</v>
      </c>
      <c r="F141" t="s">
        <v>82</v>
      </c>
      <c r="G141" t="s">
        <v>92</v>
      </c>
      <c r="H141" s="8">
        <v>43279</v>
      </c>
      <c r="I141" t="s">
        <v>31</v>
      </c>
      <c r="J141" t="s">
        <v>23</v>
      </c>
      <c r="K141" t="s">
        <v>64</v>
      </c>
      <c r="L141" t="s">
        <v>65</v>
      </c>
      <c r="M141" s="9">
        <v>298.90000000000003</v>
      </c>
      <c r="N141">
        <v>90</v>
      </c>
      <c r="O141" s="10">
        <f>Table1[[#This Row],[Precio unitario]]*Table1[[#This Row],[Cantidad]]</f>
        <v>26901.000000000004</v>
      </c>
      <c r="P141" s="9">
        <v>2609.3970000000004</v>
      </c>
    </row>
    <row r="142" spans="1:16" x14ac:dyDescent="0.35">
      <c r="A142" s="7">
        <v>1156</v>
      </c>
      <c r="B142" s="12">
        <v>43277</v>
      </c>
      <c r="C142" s="7">
        <v>26</v>
      </c>
      <c r="D142" t="s">
        <v>60</v>
      </c>
      <c r="E142" t="s">
        <v>71</v>
      </c>
      <c r="F142" t="s">
        <v>82</v>
      </c>
      <c r="G142" t="s">
        <v>30</v>
      </c>
      <c r="H142" s="8">
        <v>43279</v>
      </c>
      <c r="I142" t="s">
        <v>31</v>
      </c>
      <c r="J142" t="s">
        <v>23</v>
      </c>
      <c r="K142" t="s">
        <v>39</v>
      </c>
      <c r="L142" t="s">
        <v>40</v>
      </c>
      <c r="M142" s="9">
        <v>135.1</v>
      </c>
      <c r="N142">
        <v>60</v>
      </c>
      <c r="O142" s="10">
        <f>Table1[[#This Row],[Precio unitario]]*Table1[[#This Row],[Cantidad]]</f>
        <v>8106</v>
      </c>
      <c r="P142" s="9">
        <v>834.91800000000012</v>
      </c>
    </row>
    <row r="143" spans="1:16" x14ac:dyDescent="0.35">
      <c r="A143" s="7">
        <v>1157</v>
      </c>
      <c r="B143" s="12">
        <v>43277</v>
      </c>
      <c r="C143" s="7">
        <v>26</v>
      </c>
      <c r="D143" t="s">
        <v>60</v>
      </c>
      <c r="E143" t="s">
        <v>71</v>
      </c>
      <c r="F143" t="s">
        <v>82</v>
      </c>
      <c r="G143" t="s">
        <v>90</v>
      </c>
      <c r="H143" s="8">
        <v>43279</v>
      </c>
      <c r="I143" t="s">
        <v>31</v>
      </c>
      <c r="J143" t="s">
        <v>23</v>
      </c>
      <c r="K143" t="s">
        <v>52</v>
      </c>
      <c r="L143" t="s">
        <v>97</v>
      </c>
      <c r="M143" s="9">
        <v>257.59999999999997</v>
      </c>
      <c r="N143">
        <v>39</v>
      </c>
      <c r="O143" s="10">
        <f>Table1[[#This Row],[Precio unitario]]*Table1[[#This Row],[Cantidad]]</f>
        <v>10046.399999999998</v>
      </c>
      <c r="P143" s="9">
        <v>1004.6399999999999</v>
      </c>
    </row>
    <row r="144" spans="1:16" x14ac:dyDescent="0.35">
      <c r="A144" s="7">
        <v>1158</v>
      </c>
      <c r="B144" s="12">
        <v>43280</v>
      </c>
      <c r="C144" s="7">
        <v>29</v>
      </c>
      <c r="D144" t="s">
        <v>34</v>
      </c>
      <c r="E144" t="s">
        <v>76</v>
      </c>
      <c r="F144" t="s">
        <v>84</v>
      </c>
      <c r="G144" t="s">
        <v>91</v>
      </c>
      <c r="H144" s="8">
        <v>43282</v>
      </c>
      <c r="I144" t="s">
        <v>15</v>
      </c>
      <c r="J144" t="s">
        <v>16</v>
      </c>
      <c r="K144" t="s">
        <v>17</v>
      </c>
      <c r="L144" t="s">
        <v>18</v>
      </c>
      <c r="M144" s="9">
        <v>196</v>
      </c>
      <c r="N144">
        <v>79</v>
      </c>
      <c r="O144" s="10">
        <f>Table1[[#This Row],[Precio unitario]]*Table1[[#This Row],[Cantidad]]</f>
        <v>15484</v>
      </c>
      <c r="P144" s="9">
        <v>1594.8520000000001</v>
      </c>
    </row>
    <row r="145" spans="1:16" x14ac:dyDescent="0.35">
      <c r="A145" s="7">
        <v>1159</v>
      </c>
      <c r="B145" s="12">
        <v>43257</v>
      </c>
      <c r="C145" s="7">
        <v>6</v>
      </c>
      <c r="D145" t="s">
        <v>41</v>
      </c>
      <c r="E145" t="s">
        <v>78</v>
      </c>
      <c r="F145" t="s">
        <v>86</v>
      </c>
      <c r="G145" t="s">
        <v>92</v>
      </c>
      <c r="H145" s="8">
        <v>43259</v>
      </c>
      <c r="I145" t="s">
        <v>31</v>
      </c>
      <c r="J145" t="s">
        <v>16</v>
      </c>
      <c r="K145" t="s">
        <v>35</v>
      </c>
      <c r="L145" t="s">
        <v>36</v>
      </c>
      <c r="M145" s="9">
        <v>178.5</v>
      </c>
      <c r="N145">
        <v>44</v>
      </c>
      <c r="O145" s="10">
        <f>Table1[[#This Row],[Precio unitario]]*Table1[[#This Row],[Cantidad]]</f>
        <v>7854</v>
      </c>
      <c r="P145" s="9">
        <v>801.10800000000006</v>
      </c>
    </row>
    <row r="146" spans="1:16" x14ac:dyDescent="0.35">
      <c r="A146" s="7">
        <v>1161</v>
      </c>
      <c r="B146" s="12">
        <v>43255</v>
      </c>
      <c r="C146" s="7">
        <v>4</v>
      </c>
      <c r="D146" t="s">
        <v>21</v>
      </c>
      <c r="E146" t="s">
        <v>77</v>
      </c>
      <c r="F146" t="s">
        <v>83</v>
      </c>
      <c r="G146" t="s">
        <v>30</v>
      </c>
      <c r="H146" s="8">
        <v>43257</v>
      </c>
      <c r="I146" t="s">
        <v>22</v>
      </c>
      <c r="J146" t="s">
        <v>23</v>
      </c>
      <c r="K146" t="s">
        <v>66</v>
      </c>
      <c r="L146" t="s">
        <v>48</v>
      </c>
      <c r="M146" s="9">
        <v>1134</v>
      </c>
      <c r="N146">
        <v>98</v>
      </c>
      <c r="O146" s="10">
        <f>Table1[[#This Row],[Precio unitario]]*Table1[[#This Row],[Cantidad]]</f>
        <v>111132</v>
      </c>
      <c r="P146" s="9">
        <v>10779.804</v>
      </c>
    </row>
    <row r="147" spans="1:16" x14ac:dyDescent="0.35">
      <c r="A147" s="7">
        <v>1162</v>
      </c>
      <c r="B147" s="12">
        <v>43255</v>
      </c>
      <c r="C147" s="7">
        <v>4</v>
      </c>
      <c r="D147" t="s">
        <v>21</v>
      </c>
      <c r="E147" t="s">
        <v>77</v>
      </c>
      <c r="F147" t="s">
        <v>83</v>
      </c>
      <c r="G147" t="s">
        <v>90</v>
      </c>
      <c r="H147" s="8">
        <v>43257</v>
      </c>
      <c r="I147" t="s">
        <v>22</v>
      </c>
      <c r="J147" t="s">
        <v>23</v>
      </c>
      <c r="K147" t="s">
        <v>67</v>
      </c>
      <c r="L147" t="s">
        <v>98</v>
      </c>
      <c r="M147" s="9">
        <v>98</v>
      </c>
      <c r="N147">
        <v>61</v>
      </c>
      <c r="O147" s="10">
        <f>Table1[[#This Row],[Precio unitario]]*Table1[[#This Row],[Cantidad]]</f>
        <v>5978</v>
      </c>
      <c r="P147" s="9">
        <v>591.822</v>
      </c>
    </row>
    <row r="148" spans="1:16" x14ac:dyDescent="0.35">
      <c r="A148" s="7">
        <v>1164</v>
      </c>
      <c r="B148" s="12">
        <v>43259</v>
      </c>
      <c r="C148" s="7">
        <v>8</v>
      </c>
      <c r="D148" t="s">
        <v>29</v>
      </c>
      <c r="E148" t="s">
        <v>75</v>
      </c>
      <c r="F148" t="s">
        <v>88</v>
      </c>
      <c r="G148" t="s">
        <v>91</v>
      </c>
      <c r="H148" s="8">
        <v>43261</v>
      </c>
      <c r="I148" t="s">
        <v>31</v>
      </c>
      <c r="J148" t="s">
        <v>23</v>
      </c>
      <c r="K148" t="s">
        <v>56</v>
      </c>
      <c r="L148" t="s">
        <v>57</v>
      </c>
      <c r="M148" s="9">
        <v>487.19999999999993</v>
      </c>
      <c r="N148">
        <v>30</v>
      </c>
      <c r="O148" s="10">
        <f>Table1[[#This Row],[Precio unitario]]*Table1[[#This Row],[Cantidad]]</f>
        <v>14615.999999999998</v>
      </c>
      <c r="P148" s="9">
        <v>1534.68</v>
      </c>
    </row>
    <row r="149" spans="1:16" x14ac:dyDescent="0.35">
      <c r="A149" s="7">
        <v>1167</v>
      </c>
      <c r="B149" s="12">
        <v>43254</v>
      </c>
      <c r="C149" s="7">
        <v>3</v>
      </c>
      <c r="D149" t="s">
        <v>37</v>
      </c>
      <c r="E149" t="s">
        <v>69</v>
      </c>
      <c r="F149" t="s">
        <v>87</v>
      </c>
      <c r="G149" t="s">
        <v>92</v>
      </c>
      <c r="H149" s="8">
        <v>43256</v>
      </c>
      <c r="I149" t="s">
        <v>15</v>
      </c>
      <c r="J149" t="s">
        <v>38</v>
      </c>
      <c r="K149" t="s">
        <v>95</v>
      </c>
      <c r="L149" t="s">
        <v>49</v>
      </c>
      <c r="M149" s="9">
        <v>140</v>
      </c>
      <c r="N149">
        <v>24</v>
      </c>
      <c r="O149" s="10">
        <f>Table1[[#This Row],[Precio unitario]]*Table1[[#This Row],[Cantidad]]</f>
        <v>3360</v>
      </c>
      <c r="P149" s="9">
        <v>352.80000000000007</v>
      </c>
    </row>
    <row r="150" spans="1:16" x14ac:dyDescent="0.35">
      <c r="A150" s="7">
        <v>1168</v>
      </c>
      <c r="B150" s="12">
        <v>43254</v>
      </c>
      <c r="C150" s="7">
        <v>3</v>
      </c>
      <c r="D150" t="s">
        <v>37</v>
      </c>
      <c r="E150" t="s">
        <v>69</v>
      </c>
      <c r="F150" t="s">
        <v>87</v>
      </c>
      <c r="G150" t="s">
        <v>30</v>
      </c>
      <c r="H150" s="8">
        <v>43256</v>
      </c>
      <c r="I150" t="s">
        <v>15</v>
      </c>
      <c r="J150" t="s">
        <v>38</v>
      </c>
      <c r="K150" t="s">
        <v>42</v>
      </c>
      <c r="L150" t="s">
        <v>43</v>
      </c>
      <c r="M150" s="9">
        <v>560</v>
      </c>
      <c r="N150">
        <v>28</v>
      </c>
      <c r="O150" s="10">
        <f>Table1[[#This Row],[Precio unitario]]*Table1[[#This Row],[Cantidad]]</f>
        <v>15680</v>
      </c>
      <c r="P150" s="9">
        <v>1536.6399999999999</v>
      </c>
    </row>
    <row r="151" spans="1:16" x14ac:dyDescent="0.35">
      <c r="A151" s="7">
        <v>1172</v>
      </c>
      <c r="B151" s="12">
        <v>43261</v>
      </c>
      <c r="C151" s="7">
        <v>10</v>
      </c>
      <c r="D151" t="s">
        <v>45</v>
      </c>
      <c r="E151" t="s">
        <v>73</v>
      </c>
      <c r="F151" t="s">
        <v>85</v>
      </c>
      <c r="G151" t="s">
        <v>90</v>
      </c>
      <c r="H151" s="8">
        <v>43263</v>
      </c>
      <c r="I151" t="s">
        <v>15</v>
      </c>
      <c r="J151" t="s">
        <v>23</v>
      </c>
      <c r="K151" t="s">
        <v>58</v>
      </c>
      <c r="L151" t="s">
        <v>20</v>
      </c>
      <c r="M151" s="9">
        <v>140</v>
      </c>
      <c r="N151">
        <v>74</v>
      </c>
      <c r="O151" s="10">
        <f>Table1[[#This Row],[Precio unitario]]*Table1[[#This Row],[Cantidad]]</f>
        <v>10360</v>
      </c>
      <c r="P151" s="9">
        <v>1004.9200000000001</v>
      </c>
    </row>
    <row r="152" spans="1:16" x14ac:dyDescent="0.35">
      <c r="A152" s="7">
        <v>1174</v>
      </c>
      <c r="B152" s="12">
        <v>43261</v>
      </c>
      <c r="C152" s="7">
        <v>10</v>
      </c>
      <c r="D152" t="s">
        <v>45</v>
      </c>
      <c r="E152" t="s">
        <v>73</v>
      </c>
      <c r="F152" t="s">
        <v>85</v>
      </c>
      <c r="G152" t="s">
        <v>91</v>
      </c>
      <c r="H152" s="8"/>
      <c r="I152" t="s">
        <v>22</v>
      </c>
      <c r="K152" t="s">
        <v>19</v>
      </c>
      <c r="L152" t="s">
        <v>20</v>
      </c>
      <c r="M152" s="9">
        <v>49</v>
      </c>
      <c r="N152">
        <v>90</v>
      </c>
      <c r="O152" s="10">
        <f>Table1[[#This Row],[Precio unitario]]*Table1[[#This Row],[Cantidad]]</f>
        <v>4410</v>
      </c>
      <c r="P152" s="9">
        <v>423.35999999999996</v>
      </c>
    </row>
    <row r="153" spans="1:16" x14ac:dyDescent="0.35">
      <c r="A153" s="7">
        <v>1175</v>
      </c>
      <c r="B153" s="12">
        <v>43262</v>
      </c>
      <c r="C153" s="7">
        <v>11</v>
      </c>
      <c r="D153" t="s">
        <v>50</v>
      </c>
      <c r="E153" t="s">
        <v>71</v>
      </c>
      <c r="F153" t="s">
        <v>82</v>
      </c>
      <c r="G153" t="s">
        <v>92</v>
      </c>
      <c r="H153" s="8"/>
      <c r="I153" t="s">
        <v>31</v>
      </c>
      <c r="K153" t="s">
        <v>42</v>
      </c>
      <c r="L153" t="s">
        <v>43</v>
      </c>
      <c r="M153" s="9">
        <v>560</v>
      </c>
      <c r="N153">
        <v>27</v>
      </c>
      <c r="O153" s="10">
        <f>Table1[[#This Row],[Precio unitario]]*Table1[[#This Row],[Cantidad]]</f>
        <v>15120</v>
      </c>
      <c r="P153" s="9">
        <v>1557.3600000000001</v>
      </c>
    </row>
    <row r="154" spans="1:16" x14ac:dyDescent="0.35">
      <c r="A154" s="7">
        <v>1176</v>
      </c>
      <c r="B154" s="12">
        <v>43252</v>
      </c>
      <c r="C154" s="7">
        <v>1</v>
      </c>
      <c r="D154" t="s">
        <v>51</v>
      </c>
      <c r="E154" t="s">
        <v>80</v>
      </c>
      <c r="F154" t="s">
        <v>88</v>
      </c>
      <c r="G154" t="s">
        <v>30</v>
      </c>
      <c r="H154" s="8"/>
      <c r="I154" t="s">
        <v>31</v>
      </c>
      <c r="K154" t="s">
        <v>52</v>
      </c>
      <c r="L154" t="s">
        <v>97</v>
      </c>
      <c r="M154" s="9">
        <v>257.59999999999997</v>
      </c>
      <c r="N154">
        <v>71</v>
      </c>
      <c r="O154" s="10">
        <f>Table1[[#This Row],[Precio unitario]]*Table1[[#This Row],[Cantidad]]</f>
        <v>18289.599999999999</v>
      </c>
      <c r="P154" s="9">
        <v>1920.4079999999999</v>
      </c>
    </row>
    <row r="155" spans="1:16" x14ac:dyDescent="0.35">
      <c r="A155" s="7">
        <v>1177</v>
      </c>
      <c r="B155" s="12">
        <v>43279</v>
      </c>
      <c r="C155" s="7">
        <v>28</v>
      </c>
      <c r="D155" t="s">
        <v>44</v>
      </c>
      <c r="E155" t="s">
        <v>79</v>
      </c>
      <c r="F155" t="s">
        <v>82</v>
      </c>
      <c r="G155" t="s">
        <v>90</v>
      </c>
      <c r="H155" s="8">
        <v>43281</v>
      </c>
      <c r="I155" t="s">
        <v>31</v>
      </c>
      <c r="J155" t="s">
        <v>23</v>
      </c>
      <c r="K155" t="s">
        <v>28</v>
      </c>
      <c r="L155" t="s">
        <v>18</v>
      </c>
      <c r="M155" s="9">
        <v>644</v>
      </c>
      <c r="N155">
        <v>74</v>
      </c>
      <c r="O155" s="10">
        <f>Table1[[#This Row],[Precio unitario]]*Table1[[#This Row],[Cantidad]]</f>
        <v>47656</v>
      </c>
      <c r="P155" s="9">
        <v>4765.6000000000004</v>
      </c>
    </row>
    <row r="156" spans="1:16" x14ac:dyDescent="0.35">
      <c r="A156" s="7">
        <v>1178</v>
      </c>
      <c r="B156" s="12">
        <v>43260</v>
      </c>
      <c r="C156" s="7">
        <v>9</v>
      </c>
      <c r="D156" t="s">
        <v>53</v>
      </c>
      <c r="E156" t="s">
        <v>72</v>
      </c>
      <c r="F156" t="s">
        <v>89</v>
      </c>
      <c r="G156" t="s">
        <v>91</v>
      </c>
      <c r="H156" s="8">
        <v>43262</v>
      </c>
      <c r="I156" t="s">
        <v>22</v>
      </c>
      <c r="J156" t="s">
        <v>16</v>
      </c>
      <c r="K156" t="s">
        <v>39</v>
      </c>
      <c r="L156" t="s">
        <v>40</v>
      </c>
      <c r="M156" s="9">
        <v>135.1</v>
      </c>
      <c r="N156">
        <v>76</v>
      </c>
      <c r="O156" s="10">
        <f>Table1[[#This Row],[Precio unitario]]*Table1[[#This Row],[Cantidad]]</f>
        <v>10267.6</v>
      </c>
      <c r="P156" s="9">
        <v>1016.4924</v>
      </c>
    </row>
    <row r="157" spans="1:16" x14ac:dyDescent="0.35">
      <c r="A157" s="7">
        <v>1179</v>
      </c>
      <c r="B157" s="12">
        <v>43257</v>
      </c>
      <c r="C157" s="7">
        <v>6</v>
      </c>
      <c r="D157" t="s">
        <v>41</v>
      </c>
      <c r="E157" t="s">
        <v>78</v>
      </c>
      <c r="F157" t="s">
        <v>86</v>
      </c>
      <c r="G157" t="s">
        <v>92</v>
      </c>
      <c r="H157" s="8">
        <v>43259</v>
      </c>
      <c r="I157" t="s">
        <v>15</v>
      </c>
      <c r="J157" t="s">
        <v>23</v>
      </c>
      <c r="K157" t="s">
        <v>35</v>
      </c>
      <c r="L157" t="s">
        <v>36</v>
      </c>
      <c r="M157" s="9">
        <v>178.5</v>
      </c>
      <c r="N157">
        <v>96</v>
      </c>
      <c r="O157" s="10">
        <f>Table1[[#This Row],[Precio unitario]]*Table1[[#This Row],[Cantidad]]</f>
        <v>17136</v>
      </c>
      <c r="P157" s="9">
        <v>1730.7360000000001</v>
      </c>
    </row>
    <row r="158" spans="1:16" x14ac:dyDescent="0.35">
      <c r="A158" s="7">
        <v>1180</v>
      </c>
      <c r="B158" s="12">
        <v>43259</v>
      </c>
      <c r="C158" s="7">
        <v>8</v>
      </c>
      <c r="D158" t="s">
        <v>29</v>
      </c>
      <c r="E158" t="s">
        <v>75</v>
      </c>
      <c r="F158" t="s">
        <v>88</v>
      </c>
      <c r="G158" t="s">
        <v>30</v>
      </c>
      <c r="H158" s="8">
        <v>43261</v>
      </c>
      <c r="I158" t="s">
        <v>15</v>
      </c>
      <c r="J158" t="s">
        <v>16</v>
      </c>
      <c r="K158" t="s">
        <v>35</v>
      </c>
      <c r="L158" t="s">
        <v>36</v>
      </c>
      <c r="M158" s="9">
        <v>178.5</v>
      </c>
      <c r="N158">
        <v>92</v>
      </c>
      <c r="O158" s="10">
        <f>Table1[[#This Row],[Precio unitario]]*Table1[[#This Row],[Cantidad]]</f>
        <v>16422</v>
      </c>
      <c r="P158" s="9">
        <v>1625.7780000000002</v>
      </c>
    </row>
    <row r="159" spans="1:16" x14ac:dyDescent="0.35">
      <c r="A159" s="7">
        <v>1181</v>
      </c>
      <c r="B159" s="12">
        <v>43276</v>
      </c>
      <c r="C159" s="7">
        <v>25</v>
      </c>
      <c r="D159" t="s">
        <v>59</v>
      </c>
      <c r="E159" t="s">
        <v>73</v>
      </c>
      <c r="F159" t="s">
        <v>85</v>
      </c>
      <c r="G159" t="s">
        <v>90</v>
      </c>
      <c r="H159" s="8">
        <v>43278</v>
      </c>
      <c r="I159" t="s">
        <v>22</v>
      </c>
      <c r="J159" t="s">
        <v>38</v>
      </c>
      <c r="K159" t="s">
        <v>49</v>
      </c>
      <c r="L159" t="s">
        <v>49</v>
      </c>
      <c r="M159" s="9">
        <v>308</v>
      </c>
      <c r="N159">
        <v>93</v>
      </c>
      <c r="O159" s="10">
        <f>Table1[[#This Row],[Precio unitario]]*Table1[[#This Row],[Cantidad]]</f>
        <v>28644</v>
      </c>
      <c r="P159" s="9">
        <v>2807.1120000000001</v>
      </c>
    </row>
    <row r="160" spans="1:16" x14ac:dyDescent="0.35">
      <c r="A160" s="7">
        <v>1182</v>
      </c>
      <c r="B160" s="12">
        <v>43277</v>
      </c>
      <c r="C160" s="7">
        <v>26</v>
      </c>
      <c r="D160" t="s">
        <v>60</v>
      </c>
      <c r="E160" t="s">
        <v>71</v>
      </c>
      <c r="F160" t="s">
        <v>82</v>
      </c>
      <c r="G160" t="s">
        <v>91</v>
      </c>
      <c r="H160" s="8">
        <v>43279</v>
      </c>
      <c r="I160" t="s">
        <v>31</v>
      </c>
      <c r="J160" t="s">
        <v>23</v>
      </c>
      <c r="K160" t="s">
        <v>93</v>
      </c>
      <c r="L160" t="s">
        <v>48</v>
      </c>
      <c r="M160" s="9">
        <v>350</v>
      </c>
      <c r="N160">
        <v>18</v>
      </c>
      <c r="O160" s="10">
        <f>Table1[[#This Row],[Precio unitario]]*Table1[[#This Row],[Cantidad]]</f>
        <v>6300</v>
      </c>
      <c r="P160" s="9">
        <v>598.5</v>
      </c>
    </row>
    <row r="161" spans="1:16" x14ac:dyDescent="0.35">
      <c r="A161" s="7">
        <v>1183</v>
      </c>
      <c r="B161" s="12">
        <v>43280</v>
      </c>
      <c r="C161" s="7">
        <v>29</v>
      </c>
      <c r="D161" t="s">
        <v>34</v>
      </c>
      <c r="E161" t="s">
        <v>76</v>
      </c>
      <c r="F161" t="s">
        <v>84</v>
      </c>
      <c r="G161" t="s">
        <v>92</v>
      </c>
      <c r="H161" s="8">
        <v>43282</v>
      </c>
      <c r="I161" t="s">
        <v>15</v>
      </c>
      <c r="J161" t="s">
        <v>16</v>
      </c>
      <c r="K161" t="s">
        <v>61</v>
      </c>
      <c r="L161" t="s">
        <v>62</v>
      </c>
      <c r="M161" s="9">
        <v>546</v>
      </c>
      <c r="N161">
        <v>98</v>
      </c>
      <c r="O161" s="10">
        <f>Table1[[#This Row],[Precio unitario]]*Table1[[#This Row],[Cantidad]]</f>
        <v>53508</v>
      </c>
      <c r="P161" s="9">
        <v>5564.8320000000003</v>
      </c>
    </row>
    <row r="162" spans="1:16" x14ac:dyDescent="0.35">
      <c r="A162" s="7">
        <v>1184</v>
      </c>
      <c r="B162" s="12">
        <v>43257</v>
      </c>
      <c r="C162" s="7">
        <v>6</v>
      </c>
      <c r="D162" t="s">
        <v>41</v>
      </c>
      <c r="E162" t="s">
        <v>78</v>
      </c>
      <c r="F162" t="s">
        <v>86</v>
      </c>
      <c r="G162" t="s">
        <v>30</v>
      </c>
      <c r="H162" s="8">
        <v>43259</v>
      </c>
      <c r="I162" t="s">
        <v>31</v>
      </c>
      <c r="J162" t="s">
        <v>16</v>
      </c>
      <c r="K162" t="s">
        <v>24</v>
      </c>
      <c r="L162" t="s">
        <v>20</v>
      </c>
      <c r="M162" s="9">
        <v>420</v>
      </c>
      <c r="N162">
        <v>46</v>
      </c>
      <c r="O162" s="10">
        <f>Table1[[#This Row],[Precio unitario]]*Table1[[#This Row],[Cantidad]]</f>
        <v>19320</v>
      </c>
      <c r="P162" s="9">
        <v>1893.3600000000001</v>
      </c>
    </row>
    <row r="163" spans="1:16" x14ac:dyDescent="0.35">
      <c r="A163" s="7">
        <v>1185</v>
      </c>
      <c r="B163" s="12">
        <v>43257</v>
      </c>
      <c r="C163" s="7">
        <v>6</v>
      </c>
      <c r="D163" t="s">
        <v>41</v>
      </c>
      <c r="E163" t="s">
        <v>78</v>
      </c>
      <c r="F163" t="s">
        <v>86</v>
      </c>
      <c r="G163" t="s">
        <v>90</v>
      </c>
      <c r="H163" s="8">
        <v>43259</v>
      </c>
      <c r="I163" t="s">
        <v>31</v>
      </c>
      <c r="J163" t="s">
        <v>16</v>
      </c>
      <c r="K163" t="s">
        <v>25</v>
      </c>
      <c r="L163" t="s">
        <v>20</v>
      </c>
      <c r="M163" s="9">
        <v>742</v>
      </c>
      <c r="N163">
        <v>14</v>
      </c>
      <c r="O163" s="10">
        <f>Table1[[#This Row],[Precio unitario]]*Table1[[#This Row],[Cantidad]]</f>
        <v>10388</v>
      </c>
      <c r="P163" s="9">
        <v>1038.8</v>
      </c>
    </row>
    <row r="164" spans="1:16" x14ac:dyDescent="0.35">
      <c r="A164" s="7">
        <v>1186</v>
      </c>
      <c r="B164" s="12">
        <v>43255</v>
      </c>
      <c r="C164" s="7">
        <v>4</v>
      </c>
      <c r="D164" t="s">
        <v>21</v>
      </c>
      <c r="E164" t="s">
        <v>77</v>
      </c>
      <c r="F164" t="s">
        <v>83</v>
      </c>
      <c r="G164" t="s">
        <v>91</v>
      </c>
      <c r="H164" s="8"/>
      <c r="K164" t="s">
        <v>63</v>
      </c>
      <c r="L164" t="s">
        <v>55</v>
      </c>
      <c r="M164" s="9">
        <v>532</v>
      </c>
      <c r="N164">
        <v>85</v>
      </c>
      <c r="O164" s="10">
        <f>Table1[[#This Row],[Precio unitario]]*Table1[[#This Row],[Cantidad]]</f>
        <v>45220</v>
      </c>
      <c r="P164" s="9">
        <v>4476.78</v>
      </c>
    </row>
    <row r="165" spans="1:16" x14ac:dyDescent="0.35">
      <c r="A165" s="7">
        <v>1187</v>
      </c>
      <c r="B165" s="12">
        <v>43254</v>
      </c>
      <c r="C165" s="7">
        <v>3</v>
      </c>
      <c r="D165" t="s">
        <v>37</v>
      </c>
      <c r="E165" t="s">
        <v>69</v>
      </c>
      <c r="F165" t="s">
        <v>87</v>
      </c>
      <c r="G165" t="s">
        <v>92</v>
      </c>
      <c r="H165" s="8"/>
      <c r="K165" t="s">
        <v>46</v>
      </c>
      <c r="L165" t="s">
        <v>18</v>
      </c>
      <c r="M165" s="9">
        <v>41.86</v>
      </c>
      <c r="N165">
        <v>88</v>
      </c>
      <c r="O165" s="10">
        <f>Table1[[#This Row],[Precio unitario]]*Table1[[#This Row],[Cantidad]]</f>
        <v>3683.68</v>
      </c>
      <c r="P165" s="9">
        <v>357.31695999999999</v>
      </c>
    </row>
    <row r="166" spans="1:16" x14ac:dyDescent="0.35">
      <c r="A166" s="7">
        <v>1188</v>
      </c>
      <c r="B166" s="12">
        <v>43282</v>
      </c>
      <c r="C166" s="7">
        <v>1</v>
      </c>
      <c r="D166" t="s">
        <v>51</v>
      </c>
      <c r="E166" t="s">
        <v>80</v>
      </c>
      <c r="F166" t="s">
        <v>88</v>
      </c>
      <c r="G166" t="s">
        <v>30</v>
      </c>
      <c r="H166" s="8"/>
      <c r="K166" t="s">
        <v>46</v>
      </c>
      <c r="L166" t="s">
        <v>18</v>
      </c>
      <c r="M166" s="9">
        <v>41.86</v>
      </c>
      <c r="N166">
        <v>81</v>
      </c>
      <c r="O166" s="10">
        <f>Table1[[#This Row],[Precio unitario]]*Table1[[#This Row],[Cantidad]]</f>
        <v>3390.66</v>
      </c>
      <c r="P166" s="9">
        <v>335.67534000000006</v>
      </c>
    </row>
    <row r="167" spans="1:16" x14ac:dyDescent="0.35">
      <c r="A167" s="7">
        <v>1189</v>
      </c>
      <c r="B167" s="12">
        <v>43309</v>
      </c>
      <c r="C167" s="7">
        <v>28</v>
      </c>
      <c r="D167" t="s">
        <v>44</v>
      </c>
      <c r="E167" t="s">
        <v>79</v>
      </c>
      <c r="F167" t="s">
        <v>82</v>
      </c>
      <c r="G167" t="s">
        <v>90</v>
      </c>
      <c r="H167" s="8">
        <v>43311</v>
      </c>
      <c r="I167" t="s">
        <v>31</v>
      </c>
      <c r="J167" t="s">
        <v>23</v>
      </c>
      <c r="K167" t="s">
        <v>39</v>
      </c>
      <c r="L167" t="s">
        <v>40</v>
      </c>
      <c r="M167" s="9">
        <v>135.1</v>
      </c>
      <c r="N167">
        <v>33</v>
      </c>
      <c r="O167" s="10">
        <f>Table1[[#This Row],[Precio unitario]]*Table1[[#This Row],[Cantidad]]</f>
        <v>4458.3</v>
      </c>
      <c r="P167" s="9">
        <v>423.5385</v>
      </c>
    </row>
    <row r="168" spans="1:16" x14ac:dyDescent="0.35">
      <c r="A168" s="7">
        <v>1190</v>
      </c>
      <c r="B168" s="12">
        <v>43309</v>
      </c>
      <c r="C168" s="7">
        <v>28</v>
      </c>
      <c r="D168" t="s">
        <v>44</v>
      </c>
      <c r="E168" t="s">
        <v>79</v>
      </c>
      <c r="F168" t="s">
        <v>82</v>
      </c>
      <c r="G168" t="s">
        <v>91</v>
      </c>
      <c r="H168" s="8">
        <v>43311</v>
      </c>
      <c r="I168" t="s">
        <v>31</v>
      </c>
      <c r="J168" t="s">
        <v>23</v>
      </c>
      <c r="K168" t="s">
        <v>52</v>
      </c>
      <c r="L168" t="s">
        <v>97</v>
      </c>
      <c r="M168" s="9">
        <v>257.59999999999997</v>
      </c>
      <c r="N168">
        <v>47</v>
      </c>
      <c r="O168" s="10">
        <f>Table1[[#This Row],[Precio unitario]]*Table1[[#This Row],[Cantidad]]</f>
        <v>12107.199999999999</v>
      </c>
      <c r="P168" s="9">
        <v>1271.2560000000001</v>
      </c>
    </row>
    <row r="169" spans="1:16" x14ac:dyDescent="0.35">
      <c r="A169" s="7">
        <v>1191</v>
      </c>
      <c r="B169" s="12">
        <v>43290</v>
      </c>
      <c r="C169" s="7">
        <v>9</v>
      </c>
      <c r="D169" t="s">
        <v>53</v>
      </c>
      <c r="E169" t="s">
        <v>72</v>
      </c>
      <c r="F169" t="s">
        <v>89</v>
      </c>
      <c r="G169" t="s">
        <v>92</v>
      </c>
      <c r="H169" s="8">
        <v>43292</v>
      </c>
      <c r="I169" t="s">
        <v>22</v>
      </c>
      <c r="J169" t="s">
        <v>16</v>
      </c>
      <c r="K169" t="s">
        <v>54</v>
      </c>
      <c r="L169" t="s">
        <v>55</v>
      </c>
      <c r="M169" s="9">
        <v>273</v>
      </c>
      <c r="N169">
        <v>61</v>
      </c>
      <c r="O169" s="10">
        <f>Table1[[#This Row],[Precio unitario]]*Table1[[#This Row],[Cantidad]]</f>
        <v>16653</v>
      </c>
      <c r="P169" s="9">
        <v>1731.9120000000003</v>
      </c>
    </row>
    <row r="170" spans="1:16" x14ac:dyDescent="0.35">
      <c r="A170" s="7">
        <v>1192</v>
      </c>
      <c r="B170" s="12">
        <v>43290</v>
      </c>
      <c r="C170" s="7">
        <v>9</v>
      </c>
      <c r="D170" t="s">
        <v>53</v>
      </c>
      <c r="E170" t="s">
        <v>72</v>
      </c>
      <c r="F170" t="s">
        <v>89</v>
      </c>
      <c r="G170" t="s">
        <v>30</v>
      </c>
      <c r="H170" s="8">
        <v>43292</v>
      </c>
      <c r="I170" t="s">
        <v>22</v>
      </c>
      <c r="J170" t="s">
        <v>16</v>
      </c>
      <c r="K170" t="s">
        <v>56</v>
      </c>
      <c r="L170" t="s">
        <v>57</v>
      </c>
      <c r="M170" s="9">
        <v>487.19999999999993</v>
      </c>
      <c r="N170">
        <v>27</v>
      </c>
      <c r="O170" s="10">
        <f>Table1[[#This Row],[Precio unitario]]*Table1[[#This Row],[Cantidad]]</f>
        <v>13154.399999999998</v>
      </c>
      <c r="P170" s="9">
        <v>1341.7487999999998</v>
      </c>
    </row>
    <row r="171" spans="1:16" x14ac:dyDescent="0.35">
      <c r="A171" s="7">
        <v>1193</v>
      </c>
      <c r="B171" s="12">
        <v>43287</v>
      </c>
      <c r="C171" s="7">
        <v>6</v>
      </c>
      <c r="D171" t="s">
        <v>41</v>
      </c>
      <c r="E171" t="s">
        <v>78</v>
      </c>
      <c r="F171" t="s">
        <v>86</v>
      </c>
      <c r="G171" t="s">
        <v>90</v>
      </c>
      <c r="H171" s="8">
        <v>43289</v>
      </c>
      <c r="I171" t="s">
        <v>15</v>
      </c>
      <c r="J171" t="s">
        <v>23</v>
      </c>
      <c r="K171" t="s">
        <v>17</v>
      </c>
      <c r="L171" t="s">
        <v>18</v>
      </c>
      <c r="M171" s="9">
        <v>196</v>
      </c>
      <c r="N171">
        <v>84</v>
      </c>
      <c r="O171" s="10">
        <f>Table1[[#This Row],[Precio unitario]]*Table1[[#This Row],[Cantidad]]</f>
        <v>16464</v>
      </c>
      <c r="P171" s="9">
        <v>1662.864</v>
      </c>
    </row>
    <row r="172" spans="1:16" x14ac:dyDescent="0.35">
      <c r="A172" s="7">
        <v>1194</v>
      </c>
      <c r="B172" s="12">
        <v>43289</v>
      </c>
      <c r="C172" s="7">
        <v>8</v>
      </c>
      <c r="D172" t="s">
        <v>29</v>
      </c>
      <c r="E172" t="s">
        <v>75</v>
      </c>
      <c r="F172" t="s">
        <v>88</v>
      </c>
      <c r="G172" t="s">
        <v>91</v>
      </c>
      <c r="H172" s="8">
        <v>43291</v>
      </c>
      <c r="I172" t="s">
        <v>15</v>
      </c>
      <c r="J172" t="s">
        <v>16</v>
      </c>
      <c r="K172" t="s">
        <v>42</v>
      </c>
      <c r="L172" t="s">
        <v>43</v>
      </c>
      <c r="M172" s="9">
        <v>560</v>
      </c>
      <c r="N172">
        <v>91</v>
      </c>
      <c r="O172" s="10">
        <f>Table1[[#This Row],[Precio unitario]]*Table1[[#This Row],[Cantidad]]</f>
        <v>50960</v>
      </c>
      <c r="P172" s="9">
        <v>5045.04</v>
      </c>
    </row>
    <row r="173" spans="1:16" x14ac:dyDescent="0.35">
      <c r="A173" s="7">
        <v>1195</v>
      </c>
      <c r="B173" s="12">
        <v>43289</v>
      </c>
      <c r="C173" s="7">
        <v>8</v>
      </c>
      <c r="D173" t="s">
        <v>29</v>
      </c>
      <c r="E173" t="s">
        <v>75</v>
      </c>
      <c r="F173" t="s">
        <v>88</v>
      </c>
      <c r="G173" t="s">
        <v>92</v>
      </c>
      <c r="H173" s="8">
        <v>43291</v>
      </c>
      <c r="I173" t="s">
        <v>15</v>
      </c>
      <c r="J173" t="s">
        <v>16</v>
      </c>
      <c r="K173" t="s">
        <v>32</v>
      </c>
      <c r="L173" t="s">
        <v>33</v>
      </c>
      <c r="M173" s="9">
        <v>128.79999999999998</v>
      </c>
      <c r="N173">
        <v>36</v>
      </c>
      <c r="O173" s="10">
        <f>Table1[[#This Row],[Precio unitario]]*Table1[[#This Row],[Cantidad]]</f>
        <v>4636.7999999999993</v>
      </c>
      <c r="P173" s="9">
        <v>482.22720000000004</v>
      </c>
    </row>
    <row r="174" spans="1:16" x14ac:dyDescent="0.35">
      <c r="A174" s="7">
        <v>1196</v>
      </c>
      <c r="B174" s="12">
        <v>43306</v>
      </c>
      <c r="C174" s="7">
        <v>25</v>
      </c>
      <c r="D174" t="s">
        <v>59</v>
      </c>
      <c r="E174" t="s">
        <v>73</v>
      </c>
      <c r="F174" t="s">
        <v>85</v>
      </c>
      <c r="G174" t="s">
        <v>30</v>
      </c>
      <c r="H174" s="8">
        <v>43308</v>
      </c>
      <c r="I174" t="s">
        <v>22</v>
      </c>
      <c r="J174" t="s">
        <v>38</v>
      </c>
      <c r="K174" t="s">
        <v>94</v>
      </c>
      <c r="L174" t="s">
        <v>33</v>
      </c>
      <c r="M174" s="9">
        <v>140</v>
      </c>
      <c r="N174">
        <v>34</v>
      </c>
      <c r="O174" s="10">
        <f>Table1[[#This Row],[Precio unitario]]*Table1[[#This Row],[Cantidad]]</f>
        <v>4760</v>
      </c>
      <c r="P174" s="9">
        <v>480.76000000000005</v>
      </c>
    </row>
    <row r="175" spans="1:16" x14ac:dyDescent="0.35">
      <c r="A175" s="7">
        <v>1197</v>
      </c>
      <c r="B175" s="12">
        <v>43307</v>
      </c>
      <c r="C175" s="7">
        <v>26</v>
      </c>
      <c r="D175" t="s">
        <v>60</v>
      </c>
      <c r="E175" t="s">
        <v>71</v>
      </c>
      <c r="F175" t="s">
        <v>82</v>
      </c>
      <c r="G175" t="s">
        <v>90</v>
      </c>
      <c r="H175" s="8">
        <v>43309</v>
      </c>
      <c r="I175" t="s">
        <v>31</v>
      </c>
      <c r="J175" t="s">
        <v>23</v>
      </c>
      <c r="K175" t="s">
        <v>64</v>
      </c>
      <c r="L175" t="s">
        <v>65</v>
      </c>
      <c r="M175" s="9">
        <v>298.90000000000003</v>
      </c>
      <c r="N175">
        <v>81</v>
      </c>
      <c r="O175" s="10">
        <f>Table1[[#This Row],[Precio unitario]]*Table1[[#This Row],[Cantidad]]</f>
        <v>24210.9</v>
      </c>
      <c r="P175" s="9">
        <v>2493.7227000000003</v>
      </c>
    </row>
    <row r="176" spans="1:16" x14ac:dyDescent="0.35">
      <c r="A176" s="7">
        <v>1198</v>
      </c>
      <c r="B176" s="12">
        <v>43307</v>
      </c>
      <c r="C176" s="7">
        <v>26</v>
      </c>
      <c r="D176" t="s">
        <v>60</v>
      </c>
      <c r="E176" t="s">
        <v>71</v>
      </c>
      <c r="F176" t="s">
        <v>82</v>
      </c>
      <c r="G176" t="s">
        <v>91</v>
      </c>
      <c r="H176" s="8">
        <v>43309</v>
      </c>
      <c r="I176" t="s">
        <v>31</v>
      </c>
      <c r="J176" t="s">
        <v>23</v>
      </c>
      <c r="K176" t="s">
        <v>39</v>
      </c>
      <c r="L176" t="s">
        <v>40</v>
      </c>
      <c r="M176" s="9">
        <v>135.1</v>
      </c>
      <c r="N176">
        <v>25</v>
      </c>
      <c r="O176" s="10">
        <f>Table1[[#This Row],[Precio unitario]]*Table1[[#This Row],[Cantidad]]</f>
        <v>3377.5</v>
      </c>
      <c r="P176" s="9">
        <v>327.61750000000001</v>
      </c>
    </row>
    <row r="177" spans="1:16" x14ac:dyDescent="0.35">
      <c r="A177" s="7">
        <v>1199</v>
      </c>
      <c r="B177" s="12">
        <v>43307</v>
      </c>
      <c r="C177" s="7">
        <v>26</v>
      </c>
      <c r="D177" t="s">
        <v>60</v>
      </c>
      <c r="E177" t="s">
        <v>71</v>
      </c>
      <c r="F177" t="s">
        <v>82</v>
      </c>
      <c r="G177" t="s">
        <v>92</v>
      </c>
      <c r="H177" s="8">
        <v>43309</v>
      </c>
      <c r="I177" t="s">
        <v>31</v>
      </c>
      <c r="J177" t="s">
        <v>23</v>
      </c>
      <c r="K177" t="s">
        <v>52</v>
      </c>
      <c r="L177" t="s">
        <v>97</v>
      </c>
      <c r="M177" s="9">
        <v>257.59999999999997</v>
      </c>
      <c r="N177">
        <v>12</v>
      </c>
      <c r="O177" s="10">
        <f>Table1[[#This Row],[Precio unitario]]*Table1[[#This Row],[Cantidad]]</f>
        <v>3091.2</v>
      </c>
      <c r="P177" s="9">
        <v>309.12</v>
      </c>
    </row>
    <row r="178" spans="1:16" x14ac:dyDescent="0.35">
      <c r="A178" s="7">
        <v>1200</v>
      </c>
      <c r="B178" s="12">
        <v>43310</v>
      </c>
      <c r="C178" s="7">
        <v>29</v>
      </c>
      <c r="D178" t="s">
        <v>34</v>
      </c>
      <c r="E178" t="s">
        <v>76</v>
      </c>
      <c r="F178" t="s">
        <v>84</v>
      </c>
      <c r="G178" t="s">
        <v>30</v>
      </c>
      <c r="H178" s="8">
        <v>43312</v>
      </c>
      <c r="I178" t="s">
        <v>15</v>
      </c>
      <c r="J178" t="s">
        <v>16</v>
      </c>
      <c r="K178" t="s">
        <v>17</v>
      </c>
      <c r="L178" t="s">
        <v>18</v>
      </c>
      <c r="M178" s="9">
        <v>196</v>
      </c>
      <c r="N178">
        <v>23</v>
      </c>
      <c r="O178" s="10">
        <f>Table1[[#This Row],[Precio unitario]]*Table1[[#This Row],[Cantidad]]</f>
        <v>4508</v>
      </c>
      <c r="P178" s="9">
        <v>432.76800000000003</v>
      </c>
    </row>
    <row r="179" spans="1:16" x14ac:dyDescent="0.35">
      <c r="A179" s="7">
        <v>1201</v>
      </c>
      <c r="B179" s="12">
        <v>43287</v>
      </c>
      <c r="C179" s="7">
        <v>6</v>
      </c>
      <c r="D179" t="s">
        <v>41</v>
      </c>
      <c r="E179" t="s">
        <v>78</v>
      </c>
      <c r="F179" t="s">
        <v>86</v>
      </c>
      <c r="G179" t="s">
        <v>90</v>
      </c>
      <c r="H179" s="8">
        <v>43289</v>
      </c>
      <c r="I179" t="s">
        <v>31</v>
      </c>
      <c r="J179" t="s">
        <v>16</v>
      </c>
      <c r="K179" t="s">
        <v>35</v>
      </c>
      <c r="L179" t="s">
        <v>36</v>
      </c>
      <c r="M179" s="9">
        <v>178.5</v>
      </c>
      <c r="N179">
        <v>76</v>
      </c>
      <c r="O179" s="10">
        <f>Table1[[#This Row],[Precio unitario]]*Table1[[#This Row],[Cantidad]]</f>
        <v>13566</v>
      </c>
      <c r="P179" s="9">
        <v>1370.1659999999999</v>
      </c>
    </row>
    <row r="180" spans="1:16" x14ac:dyDescent="0.35">
      <c r="A180" s="7">
        <v>1203</v>
      </c>
      <c r="B180" s="12">
        <v>43285</v>
      </c>
      <c r="C180" s="7">
        <v>4</v>
      </c>
      <c r="D180" t="s">
        <v>21</v>
      </c>
      <c r="E180" t="s">
        <v>77</v>
      </c>
      <c r="F180" t="s">
        <v>83</v>
      </c>
      <c r="G180" t="s">
        <v>91</v>
      </c>
      <c r="H180" s="8">
        <v>43287</v>
      </c>
      <c r="I180" t="s">
        <v>22</v>
      </c>
      <c r="J180" t="s">
        <v>23</v>
      </c>
      <c r="K180" t="s">
        <v>66</v>
      </c>
      <c r="L180" t="s">
        <v>48</v>
      </c>
      <c r="M180" s="9">
        <v>1134</v>
      </c>
      <c r="N180">
        <v>55</v>
      </c>
      <c r="O180" s="10">
        <f>Table1[[#This Row],[Precio unitario]]*Table1[[#This Row],[Cantidad]]</f>
        <v>62370</v>
      </c>
      <c r="P180" s="9">
        <v>6237</v>
      </c>
    </row>
    <row r="181" spans="1:16" x14ac:dyDescent="0.35">
      <c r="A181" s="7">
        <v>1204</v>
      </c>
      <c r="B181" s="12">
        <v>43285</v>
      </c>
      <c r="C181" s="7">
        <v>4</v>
      </c>
      <c r="D181" t="s">
        <v>21</v>
      </c>
      <c r="E181" t="s">
        <v>77</v>
      </c>
      <c r="F181" t="s">
        <v>83</v>
      </c>
      <c r="G181" t="s">
        <v>92</v>
      </c>
      <c r="H181" s="8">
        <v>43287</v>
      </c>
      <c r="I181" t="s">
        <v>22</v>
      </c>
      <c r="J181" t="s">
        <v>23</v>
      </c>
      <c r="K181" t="s">
        <v>67</v>
      </c>
      <c r="L181" t="s">
        <v>98</v>
      </c>
      <c r="M181" s="9">
        <v>98</v>
      </c>
      <c r="N181">
        <v>19</v>
      </c>
      <c r="O181" s="10">
        <f>Table1[[#This Row],[Precio unitario]]*Table1[[#This Row],[Cantidad]]</f>
        <v>1862</v>
      </c>
      <c r="P181" s="9">
        <v>180.614</v>
      </c>
    </row>
    <row r="182" spans="1:16" x14ac:dyDescent="0.35">
      <c r="A182" s="7">
        <v>1206</v>
      </c>
      <c r="B182" s="12">
        <v>43289</v>
      </c>
      <c r="C182" s="7">
        <v>8</v>
      </c>
      <c r="D182" t="s">
        <v>29</v>
      </c>
      <c r="E182" t="s">
        <v>75</v>
      </c>
      <c r="F182" t="s">
        <v>88</v>
      </c>
      <c r="G182" t="s">
        <v>30</v>
      </c>
      <c r="H182" s="8">
        <v>43291</v>
      </c>
      <c r="I182" t="s">
        <v>31</v>
      </c>
      <c r="J182" t="s">
        <v>23</v>
      </c>
      <c r="K182" t="s">
        <v>56</v>
      </c>
      <c r="L182" t="s">
        <v>57</v>
      </c>
      <c r="M182" s="9">
        <v>487.19999999999993</v>
      </c>
      <c r="N182">
        <v>27</v>
      </c>
      <c r="O182" s="10">
        <f>Table1[[#This Row],[Precio unitario]]*Table1[[#This Row],[Cantidad]]</f>
        <v>13154.399999999998</v>
      </c>
      <c r="P182" s="9">
        <v>1249.6679999999999</v>
      </c>
    </row>
    <row r="183" spans="1:16" x14ac:dyDescent="0.35">
      <c r="A183" s="7">
        <v>1209</v>
      </c>
      <c r="B183" s="12">
        <v>43284</v>
      </c>
      <c r="C183" s="7">
        <v>3</v>
      </c>
      <c r="D183" t="s">
        <v>37</v>
      </c>
      <c r="E183" t="s">
        <v>69</v>
      </c>
      <c r="F183" t="s">
        <v>87</v>
      </c>
      <c r="G183" t="s">
        <v>90</v>
      </c>
      <c r="H183" s="8">
        <v>43286</v>
      </c>
      <c r="I183" t="s">
        <v>15</v>
      </c>
      <c r="J183" t="s">
        <v>38</v>
      </c>
      <c r="K183" t="s">
        <v>95</v>
      </c>
      <c r="L183" t="s">
        <v>49</v>
      </c>
      <c r="M183" s="9">
        <v>140</v>
      </c>
      <c r="N183">
        <v>99</v>
      </c>
      <c r="O183" s="10">
        <f>Table1[[#This Row],[Precio unitario]]*Table1[[#This Row],[Cantidad]]</f>
        <v>13860</v>
      </c>
      <c r="P183" s="9">
        <v>1330.56</v>
      </c>
    </row>
    <row r="184" spans="1:16" x14ac:dyDescent="0.35">
      <c r="A184" s="7">
        <v>1210</v>
      </c>
      <c r="B184" s="12">
        <v>43284</v>
      </c>
      <c r="C184" s="7">
        <v>3</v>
      </c>
      <c r="D184" t="s">
        <v>37</v>
      </c>
      <c r="E184" t="s">
        <v>69</v>
      </c>
      <c r="F184" t="s">
        <v>87</v>
      </c>
      <c r="G184" t="s">
        <v>91</v>
      </c>
      <c r="H184" s="8">
        <v>43286</v>
      </c>
      <c r="I184" t="s">
        <v>15</v>
      </c>
      <c r="J184" t="s">
        <v>38</v>
      </c>
      <c r="K184" t="s">
        <v>42</v>
      </c>
      <c r="L184" t="s">
        <v>43</v>
      </c>
      <c r="M184" s="9">
        <v>560</v>
      </c>
      <c r="N184">
        <v>10</v>
      </c>
      <c r="O184" s="10">
        <f>Table1[[#This Row],[Precio unitario]]*Table1[[#This Row],[Cantidad]]</f>
        <v>5600</v>
      </c>
      <c r="P184" s="9">
        <v>560</v>
      </c>
    </row>
    <row r="185" spans="1:16" x14ac:dyDescent="0.35">
      <c r="A185" s="7">
        <v>1214</v>
      </c>
      <c r="B185" s="12">
        <v>43291</v>
      </c>
      <c r="C185" s="7">
        <v>10</v>
      </c>
      <c r="D185" t="s">
        <v>45</v>
      </c>
      <c r="E185" t="s">
        <v>73</v>
      </c>
      <c r="F185" t="s">
        <v>85</v>
      </c>
      <c r="G185" t="s">
        <v>92</v>
      </c>
      <c r="H185" s="8">
        <v>43293</v>
      </c>
      <c r="I185" t="s">
        <v>15</v>
      </c>
      <c r="J185" t="s">
        <v>23</v>
      </c>
      <c r="K185" t="s">
        <v>58</v>
      </c>
      <c r="L185" t="s">
        <v>20</v>
      </c>
      <c r="M185" s="9">
        <v>140</v>
      </c>
      <c r="N185">
        <v>80</v>
      </c>
      <c r="O185" s="10">
        <f>Table1[[#This Row],[Precio unitario]]*Table1[[#This Row],[Cantidad]]</f>
        <v>11200</v>
      </c>
      <c r="P185" s="9">
        <v>1086.3999999999999</v>
      </c>
    </row>
    <row r="186" spans="1:16" x14ac:dyDescent="0.35">
      <c r="A186" s="7">
        <v>1216</v>
      </c>
      <c r="B186" s="12">
        <v>43291</v>
      </c>
      <c r="C186" s="7">
        <v>10</v>
      </c>
      <c r="D186" t="s">
        <v>45</v>
      </c>
      <c r="E186" t="s">
        <v>73</v>
      </c>
      <c r="F186" t="s">
        <v>85</v>
      </c>
      <c r="G186" t="s">
        <v>30</v>
      </c>
      <c r="H186" s="8"/>
      <c r="I186" t="s">
        <v>22</v>
      </c>
      <c r="K186" t="s">
        <v>19</v>
      </c>
      <c r="L186" t="s">
        <v>20</v>
      </c>
      <c r="M186" s="9">
        <v>49</v>
      </c>
      <c r="N186">
        <v>27</v>
      </c>
      <c r="O186" s="10">
        <f>Table1[[#This Row],[Precio unitario]]*Table1[[#This Row],[Cantidad]]</f>
        <v>1323</v>
      </c>
      <c r="P186" s="9">
        <v>127.00800000000001</v>
      </c>
    </row>
    <row r="187" spans="1:16" x14ac:dyDescent="0.35">
      <c r="A187" s="7">
        <v>1217</v>
      </c>
      <c r="B187" s="12">
        <v>43292</v>
      </c>
      <c r="C187" s="7">
        <v>11</v>
      </c>
      <c r="D187" t="s">
        <v>50</v>
      </c>
      <c r="E187" t="s">
        <v>71</v>
      </c>
      <c r="F187" t="s">
        <v>82</v>
      </c>
      <c r="G187" t="s">
        <v>90</v>
      </c>
      <c r="H187" s="8"/>
      <c r="I187" t="s">
        <v>31</v>
      </c>
      <c r="K187" t="s">
        <v>42</v>
      </c>
      <c r="L187" t="s">
        <v>43</v>
      </c>
      <c r="M187" s="9">
        <v>560</v>
      </c>
      <c r="N187">
        <v>97</v>
      </c>
      <c r="O187" s="10">
        <f>Table1[[#This Row],[Precio unitario]]*Table1[[#This Row],[Cantidad]]</f>
        <v>54320</v>
      </c>
      <c r="P187" s="9">
        <v>5323.3600000000006</v>
      </c>
    </row>
    <row r="188" spans="1:16" x14ac:dyDescent="0.35">
      <c r="A188" s="7">
        <v>1218</v>
      </c>
      <c r="B188" s="12">
        <v>43282</v>
      </c>
      <c r="C188" s="7">
        <v>1</v>
      </c>
      <c r="D188" t="s">
        <v>51</v>
      </c>
      <c r="E188" t="s">
        <v>80</v>
      </c>
      <c r="F188" t="s">
        <v>88</v>
      </c>
      <c r="G188" t="s">
        <v>91</v>
      </c>
      <c r="H188" s="8"/>
      <c r="I188" t="s">
        <v>31</v>
      </c>
      <c r="K188" t="s">
        <v>52</v>
      </c>
      <c r="L188" t="s">
        <v>97</v>
      </c>
      <c r="M188" s="9">
        <v>257.59999999999997</v>
      </c>
      <c r="N188">
        <v>42</v>
      </c>
      <c r="O188" s="10">
        <f>Table1[[#This Row],[Precio unitario]]*Table1[[#This Row],[Cantidad]]</f>
        <v>10819.199999999999</v>
      </c>
      <c r="P188" s="9">
        <v>1125.1967999999999</v>
      </c>
    </row>
    <row r="189" spans="1:16" x14ac:dyDescent="0.35">
      <c r="A189" s="7">
        <v>1219</v>
      </c>
      <c r="B189" s="12">
        <v>43309</v>
      </c>
      <c r="C189" s="7">
        <v>28</v>
      </c>
      <c r="D189" t="s">
        <v>44</v>
      </c>
      <c r="E189" t="s">
        <v>79</v>
      </c>
      <c r="F189" t="s">
        <v>82</v>
      </c>
      <c r="G189" t="s">
        <v>92</v>
      </c>
      <c r="H189" s="8">
        <v>43311</v>
      </c>
      <c r="I189" t="s">
        <v>31</v>
      </c>
      <c r="J189" t="s">
        <v>23</v>
      </c>
      <c r="K189" t="s">
        <v>28</v>
      </c>
      <c r="L189" t="s">
        <v>18</v>
      </c>
      <c r="M189" s="9">
        <v>644</v>
      </c>
      <c r="N189">
        <v>24</v>
      </c>
      <c r="O189" s="10">
        <f>Table1[[#This Row],[Precio unitario]]*Table1[[#This Row],[Cantidad]]</f>
        <v>15456</v>
      </c>
      <c r="P189" s="9">
        <v>1483.7759999999998</v>
      </c>
    </row>
    <row r="190" spans="1:16" x14ac:dyDescent="0.35">
      <c r="A190" s="7">
        <v>1220</v>
      </c>
      <c r="B190" s="12">
        <v>43290</v>
      </c>
      <c r="C190" s="7">
        <v>9</v>
      </c>
      <c r="D190" t="s">
        <v>53</v>
      </c>
      <c r="E190" t="s">
        <v>72</v>
      </c>
      <c r="F190" t="s">
        <v>89</v>
      </c>
      <c r="G190" t="s">
        <v>30</v>
      </c>
      <c r="H190" s="8">
        <v>43292</v>
      </c>
      <c r="I190" t="s">
        <v>22</v>
      </c>
      <c r="J190" t="s">
        <v>16</v>
      </c>
      <c r="K190" t="s">
        <v>39</v>
      </c>
      <c r="L190" t="s">
        <v>40</v>
      </c>
      <c r="M190" s="9">
        <v>135.1</v>
      </c>
      <c r="N190">
        <v>90</v>
      </c>
      <c r="O190" s="10">
        <f>Table1[[#This Row],[Precio unitario]]*Table1[[#This Row],[Cantidad]]</f>
        <v>12159</v>
      </c>
      <c r="P190" s="9">
        <v>1167.2640000000001</v>
      </c>
    </row>
    <row r="191" spans="1:16" x14ac:dyDescent="0.35">
      <c r="A191" s="7">
        <v>1221</v>
      </c>
      <c r="B191" s="12">
        <v>43287</v>
      </c>
      <c r="C191" s="7">
        <v>6</v>
      </c>
      <c r="D191" t="s">
        <v>41</v>
      </c>
      <c r="E191" t="s">
        <v>78</v>
      </c>
      <c r="F191" t="s">
        <v>86</v>
      </c>
      <c r="G191" t="s">
        <v>90</v>
      </c>
      <c r="H191" s="8">
        <v>43289</v>
      </c>
      <c r="I191" t="s">
        <v>15</v>
      </c>
      <c r="J191" t="s">
        <v>23</v>
      </c>
      <c r="K191" t="s">
        <v>35</v>
      </c>
      <c r="L191" t="s">
        <v>36</v>
      </c>
      <c r="M191" s="9">
        <v>178.5</v>
      </c>
      <c r="N191">
        <v>28</v>
      </c>
      <c r="O191" s="10">
        <f>Table1[[#This Row],[Precio unitario]]*Table1[[#This Row],[Cantidad]]</f>
        <v>4998</v>
      </c>
      <c r="P191" s="9">
        <v>499.80000000000007</v>
      </c>
    </row>
    <row r="192" spans="1:16" x14ac:dyDescent="0.35">
      <c r="A192" s="7">
        <v>1222</v>
      </c>
      <c r="B192" s="12">
        <v>43340</v>
      </c>
      <c r="C192" s="7">
        <v>28</v>
      </c>
      <c r="D192" t="s">
        <v>44</v>
      </c>
      <c r="E192" t="s">
        <v>79</v>
      </c>
      <c r="F192" t="s">
        <v>82</v>
      </c>
      <c r="G192" t="s">
        <v>91</v>
      </c>
      <c r="H192" s="8">
        <v>43342</v>
      </c>
      <c r="I192" t="s">
        <v>31</v>
      </c>
      <c r="J192" t="s">
        <v>16</v>
      </c>
      <c r="K192" t="s">
        <v>28</v>
      </c>
      <c r="L192" t="s">
        <v>18</v>
      </c>
      <c r="M192" s="9">
        <v>644</v>
      </c>
      <c r="N192">
        <v>28</v>
      </c>
      <c r="O192" s="10">
        <f>Table1[[#This Row],[Precio unitario]]*Table1[[#This Row],[Cantidad]]</f>
        <v>18032</v>
      </c>
      <c r="P192" s="9">
        <v>1875.3280000000004</v>
      </c>
    </row>
    <row r="193" spans="1:16" x14ac:dyDescent="0.35">
      <c r="A193" s="7">
        <v>1223</v>
      </c>
      <c r="B193" s="12">
        <v>43320</v>
      </c>
      <c r="C193" s="7">
        <v>8</v>
      </c>
      <c r="D193" t="s">
        <v>29</v>
      </c>
      <c r="E193" t="s">
        <v>75</v>
      </c>
      <c r="F193" t="s">
        <v>88</v>
      </c>
      <c r="G193" t="s">
        <v>92</v>
      </c>
      <c r="H193" s="8">
        <v>43322</v>
      </c>
      <c r="I193" t="s">
        <v>31</v>
      </c>
      <c r="J193" t="s">
        <v>16</v>
      </c>
      <c r="K193" t="s">
        <v>35</v>
      </c>
      <c r="L193" t="s">
        <v>36</v>
      </c>
      <c r="M193" s="9">
        <v>178.5</v>
      </c>
      <c r="N193">
        <v>57</v>
      </c>
      <c r="O193" s="10">
        <f>Table1[[#This Row],[Precio unitario]]*Table1[[#This Row],[Cantidad]]</f>
        <v>10174.5</v>
      </c>
      <c r="P193" s="9">
        <v>976.75199999999995</v>
      </c>
    </row>
    <row r="194" spans="1:16" x14ac:dyDescent="0.35">
      <c r="A194" s="7">
        <v>1224</v>
      </c>
      <c r="B194" s="12">
        <v>43322</v>
      </c>
      <c r="C194" s="7">
        <v>10</v>
      </c>
      <c r="D194" t="s">
        <v>45</v>
      </c>
      <c r="E194" t="s">
        <v>73</v>
      </c>
      <c r="F194" t="s">
        <v>85</v>
      </c>
      <c r="G194" t="s">
        <v>30</v>
      </c>
      <c r="H194" s="8">
        <v>43324</v>
      </c>
      <c r="I194" t="s">
        <v>15</v>
      </c>
      <c r="J194" t="s">
        <v>23</v>
      </c>
      <c r="K194" t="s">
        <v>46</v>
      </c>
      <c r="L194" t="s">
        <v>18</v>
      </c>
      <c r="M194" s="9">
        <v>41.86</v>
      </c>
      <c r="N194">
        <v>23</v>
      </c>
      <c r="O194" s="10">
        <f>Table1[[#This Row],[Precio unitario]]*Table1[[#This Row],[Cantidad]]</f>
        <v>962.78</v>
      </c>
      <c r="P194" s="9">
        <v>93.389660000000021</v>
      </c>
    </row>
    <row r="195" spans="1:16" x14ac:dyDescent="0.35">
      <c r="A195" s="7">
        <v>1225</v>
      </c>
      <c r="B195" s="12">
        <v>43319</v>
      </c>
      <c r="C195" s="7">
        <v>7</v>
      </c>
      <c r="D195" t="s">
        <v>47</v>
      </c>
      <c r="E195" t="s">
        <v>70</v>
      </c>
      <c r="F195" t="s">
        <v>88</v>
      </c>
      <c r="G195" t="s">
        <v>90</v>
      </c>
      <c r="H195" s="8"/>
      <c r="K195" t="s">
        <v>28</v>
      </c>
      <c r="L195" t="s">
        <v>18</v>
      </c>
      <c r="M195" s="9">
        <v>644</v>
      </c>
      <c r="N195">
        <v>86</v>
      </c>
      <c r="O195" s="10">
        <f>Table1[[#This Row],[Precio unitario]]*Table1[[#This Row],[Cantidad]]</f>
        <v>55384</v>
      </c>
      <c r="P195" s="9">
        <v>5593.7840000000006</v>
      </c>
    </row>
    <row r="196" spans="1:16" x14ac:dyDescent="0.35">
      <c r="A196" s="7">
        <v>1226</v>
      </c>
      <c r="B196" s="12">
        <v>43322</v>
      </c>
      <c r="C196" s="7">
        <v>10</v>
      </c>
      <c r="D196" t="s">
        <v>45</v>
      </c>
      <c r="E196" t="s">
        <v>73</v>
      </c>
      <c r="F196" t="s">
        <v>85</v>
      </c>
      <c r="G196" t="s">
        <v>91</v>
      </c>
      <c r="H196" s="8">
        <v>43324</v>
      </c>
      <c r="I196" t="s">
        <v>22</v>
      </c>
      <c r="K196" t="s">
        <v>93</v>
      </c>
      <c r="L196" t="s">
        <v>48</v>
      </c>
      <c r="M196" s="9">
        <v>350</v>
      </c>
      <c r="N196">
        <v>47</v>
      </c>
      <c r="O196" s="10">
        <f>Table1[[#This Row],[Precio unitario]]*Table1[[#This Row],[Cantidad]]</f>
        <v>16450</v>
      </c>
      <c r="P196" s="9">
        <v>1628.55</v>
      </c>
    </row>
    <row r="197" spans="1:16" x14ac:dyDescent="0.35">
      <c r="A197" s="7">
        <v>1227</v>
      </c>
      <c r="B197" s="12">
        <v>43322</v>
      </c>
      <c r="C197" s="7">
        <v>10</v>
      </c>
      <c r="D197" t="s">
        <v>45</v>
      </c>
      <c r="E197" t="s">
        <v>73</v>
      </c>
      <c r="F197" t="s">
        <v>85</v>
      </c>
      <c r="G197" t="s">
        <v>92</v>
      </c>
      <c r="H197" s="8">
        <v>43324</v>
      </c>
      <c r="I197" t="s">
        <v>22</v>
      </c>
      <c r="K197" t="s">
        <v>49</v>
      </c>
      <c r="L197" t="s">
        <v>49</v>
      </c>
      <c r="M197" s="9">
        <v>308</v>
      </c>
      <c r="N197">
        <v>97</v>
      </c>
      <c r="O197" s="10">
        <f>Table1[[#This Row],[Precio unitario]]*Table1[[#This Row],[Cantidad]]</f>
        <v>29876</v>
      </c>
      <c r="P197" s="9">
        <v>3107.1040000000003</v>
      </c>
    </row>
    <row r="198" spans="1:16" x14ac:dyDescent="0.35">
      <c r="A198" s="7">
        <v>1228</v>
      </c>
      <c r="B198" s="12">
        <v>43322</v>
      </c>
      <c r="C198" s="7">
        <v>10</v>
      </c>
      <c r="D198" t="s">
        <v>45</v>
      </c>
      <c r="E198" t="s">
        <v>73</v>
      </c>
      <c r="F198" t="s">
        <v>85</v>
      </c>
      <c r="G198" t="s">
        <v>30</v>
      </c>
      <c r="H198" s="8">
        <v>43324</v>
      </c>
      <c r="I198" t="s">
        <v>22</v>
      </c>
      <c r="K198" t="s">
        <v>32</v>
      </c>
      <c r="L198" t="s">
        <v>33</v>
      </c>
      <c r="M198" s="9">
        <v>128.79999999999998</v>
      </c>
      <c r="N198">
        <v>96</v>
      </c>
      <c r="O198" s="10">
        <f>Table1[[#This Row],[Precio unitario]]*Table1[[#This Row],[Cantidad]]</f>
        <v>12364.8</v>
      </c>
      <c r="P198" s="9">
        <v>1211.7503999999999</v>
      </c>
    </row>
    <row r="199" spans="1:16" x14ac:dyDescent="0.35">
      <c r="A199" s="7">
        <v>1229</v>
      </c>
      <c r="B199" s="12">
        <v>43323</v>
      </c>
      <c r="C199" s="7">
        <v>11</v>
      </c>
      <c r="D199" t="s">
        <v>50</v>
      </c>
      <c r="E199" t="s">
        <v>71</v>
      </c>
      <c r="F199" t="s">
        <v>82</v>
      </c>
      <c r="G199" t="s">
        <v>90</v>
      </c>
      <c r="H199" s="8"/>
      <c r="I199" t="s">
        <v>31</v>
      </c>
      <c r="K199" t="s">
        <v>19</v>
      </c>
      <c r="L199" t="s">
        <v>20</v>
      </c>
      <c r="M199" s="9">
        <v>49</v>
      </c>
      <c r="N199">
        <v>31</v>
      </c>
      <c r="O199" s="10">
        <f>Table1[[#This Row],[Precio unitario]]*Table1[[#This Row],[Cantidad]]</f>
        <v>1519</v>
      </c>
      <c r="P199" s="9">
        <v>151.90000000000003</v>
      </c>
    </row>
    <row r="200" spans="1:16" x14ac:dyDescent="0.35">
      <c r="A200" s="7">
        <v>1230</v>
      </c>
      <c r="B200" s="12">
        <v>43323</v>
      </c>
      <c r="C200" s="7">
        <v>11</v>
      </c>
      <c r="D200" t="s">
        <v>50</v>
      </c>
      <c r="E200" t="s">
        <v>71</v>
      </c>
      <c r="F200" t="s">
        <v>82</v>
      </c>
      <c r="G200" t="s">
        <v>91</v>
      </c>
      <c r="H200" s="8"/>
      <c r="I200" t="s">
        <v>31</v>
      </c>
      <c r="K200" t="s">
        <v>46</v>
      </c>
      <c r="L200" t="s">
        <v>18</v>
      </c>
      <c r="M200" s="9">
        <v>41.86</v>
      </c>
      <c r="N200">
        <v>52</v>
      </c>
      <c r="O200" s="10">
        <f>Table1[[#This Row],[Precio unitario]]*Table1[[#This Row],[Cantidad]]</f>
        <v>2176.7199999999998</v>
      </c>
      <c r="P200" s="9">
        <v>224.20216000000005</v>
      </c>
    </row>
    <row r="201" spans="1:16" x14ac:dyDescent="0.35">
      <c r="A201" s="7">
        <v>1231</v>
      </c>
      <c r="B201" s="12">
        <v>43313</v>
      </c>
      <c r="C201" s="7">
        <v>1</v>
      </c>
      <c r="D201" t="s">
        <v>51</v>
      </c>
      <c r="E201" t="s">
        <v>80</v>
      </c>
      <c r="F201" t="s">
        <v>88</v>
      </c>
      <c r="G201" t="s">
        <v>92</v>
      </c>
      <c r="H201" s="8"/>
      <c r="K201" t="s">
        <v>27</v>
      </c>
      <c r="L201" t="s">
        <v>18</v>
      </c>
      <c r="M201" s="9">
        <v>252</v>
      </c>
      <c r="N201">
        <v>91</v>
      </c>
      <c r="O201" s="10">
        <f>Table1[[#This Row],[Precio unitario]]*Table1[[#This Row],[Cantidad]]</f>
        <v>22932</v>
      </c>
      <c r="P201" s="9">
        <v>2224.404</v>
      </c>
    </row>
    <row r="202" spans="1:16" x14ac:dyDescent="0.35">
      <c r="A202" s="7">
        <v>1232</v>
      </c>
      <c r="B202" s="12">
        <v>43313</v>
      </c>
      <c r="C202" s="7">
        <v>1</v>
      </c>
      <c r="D202" t="s">
        <v>51</v>
      </c>
      <c r="E202" t="s">
        <v>80</v>
      </c>
      <c r="F202" t="s">
        <v>88</v>
      </c>
      <c r="G202" t="s">
        <v>30</v>
      </c>
      <c r="H202" s="8"/>
      <c r="K202" t="s">
        <v>28</v>
      </c>
      <c r="L202" t="s">
        <v>18</v>
      </c>
      <c r="M202" s="9">
        <v>644</v>
      </c>
      <c r="N202">
        <v>14</v>
      </c>
      <c r="O202" s="10">
        <f>Table1[[#This Row],[Precio unitario]]*Table1[[#This Row],[Cantidad]]</f>
        <v>9016</v>
      </c>
      <c r="P202" s="9">
        <v>892.58400000000006</v>
      </c>
    </row>
    <row r="203" spans="1:16" x14ac:dyDescent="0.35">
      <c r="A203" s="7">
        <v>1233</v>
      </c>
      <c r="B203" s="12">
        <v>43313</v>
      </c>
      <c r="C203" s="7">
        <v>1</v>
      </c>
      <c r="D203" t="s">
        <v>51</v>
      </c>
      <c r="E203" t="s">
        <v>80</v>
      </c>
      <c r="F203" t="s">
        <v>88</v>
      </c>
      <c r="G203" t="s">
        <v>90</v>
      </c>
      <c r="H203" s="8"/>
      <c r="K203" t="s">
        <v>46</v>
      </c>
      <c r="L203" t="s">
        <v>18</v>
      </c>
      <c r="M203" s="9">
        <v>41.86</v>
      </c>
      <c r="N203">
        <v>44</v>
      </c>
      <c r="O203" s="10">
        <f>Table1[[#This Row],[Precio unitario]]*Table1[[#This Row],[Cantidad]]</f>
        <v>1841.84</v>
      </c>
      <c r="P203" s="9">
        <v>186.02584000000002</v>
      </c>
    </row>
    <row r="204" spans="1:16" x14ac:dyDescent="0.35">
      <c r="A204" s="7">
        <v>1234</v>
      </c>
      <c r="B204" s="12">
        <v>43340</v>
      </c>
      <c r="C204" s="7">
        <v>28</v>
      </c>
      <c r="D204" t="s">
        <v>44</v>
      </c>
      <c r="E204" t="s">
        <v>79</v>
      </c>
      <c r="F204" t="s">
        <v>82</v>
      </c>
      <c r="G204" t="s">
        <v>91</v>
      </c>
      <c r="H204" s="8">
        <v>43342</v>
      </c>
      <c r="I204" t="s">
        <v>31</v>
      </c>
      <c r="J204" t="s">
        <v>23</v>
      </c>
      <c r="K204" t="s">
        <v>39</v>
      </c>
      <c r="L204" t="s">
        <v>40</v>
      </c>
      <c r="M204" s="9">
        <v>135.1</v>
      </c>
      <c r="N204">
        <v>97</v>
      </c>
      <c r="O204" s="10">
        <f>Table1[[#This Row],[Precio unitario]]*Table1[[#This Row],[Cantidad]]</f>
        <v>13104.699999999999</v>
      </c>
      <c r="P204" s="9">
        <v>1336.6794000000002</v>
      </c>
    </row>
    <row r="205" spans="1:16" x14ac:dyDescent="0.35">
      <c r="A205" s="7">
        <v>1235</v>
      </c>
      <c r="B205" s="12">
        <v>43340</v>
      </c>
      <c r="C205" s="7">
        <v>28</v>
      </c>
      <c r="D205" t="s">
        <v>44</v>
      </c>
      <c r="E205" t="s">
        <v>79</v>
      </c>
      <c r="F205" t="s">
        <v>82</v>
      </c>
      <c r="G205" t="s">
        <v>92</v>
      </c>
      <c r="H205" s="8">
        <v>43342</v>
      </c>
      <c r="I205" t="s">
        <v>31</v>
      </c>
      <c r="J205" t="s">
        <v>23</v>
      </c>
      <c r="K205" t="s">
        <v>52</v>
      </c>
      <c r="L205" t="s">
        <v>97</v>
      </c>
      <c r="M205" s="9">
        <v>257.59999999999997</v>
      </c>
      <c r="N205">
        <v>80</v>
      </c>
      <c r="O205" s="10">
        <f>Table1[[#This Row],[Precio unitario]]*Table1[[#This Row],[Cantidad]]</f>
        <v>20607.999999999996</v>
      </c>
      <c r="P205" s="9">
        <v>2102.0160000000005</v>
      </c>
    </row>
    <row r="206" spans="1:16" x14ac:dyDescent="0.35">
      <c r="A206" s="7">
        <v>1236</v>
      </c>
      <c r="B206" s="12">
        <v>43321</v>
      </c>
      <c r="C206" s="7">
        <v>9</v>
      </c>
      <c r="D206" t="s">
        <v>53</v>
      </c>
      <c r="E206" t="s">
        <v>72</v>
      </c>
      <c r="F206" t="s">
        <v>89</v>
      </c>
      <c r="G206" t="s">
        <v>30</v>
      </c>
      <c r="H206" s="8">
        <v>43323</v>
      </c>
      <c r="I206" t="s">
        <v>22</v>
      </c>
      <c r="J206" t="s">
        <v>16</v>
      </c>
      <c r="K206" t="s">
        <v>54</v>
      </c>
      <c r="L206" t="s">
        <v>55</v>
      </c>
      <c r="M206" s="9">
        <v>273</v>
      </c>
      <c r="N206">
        <v>66</v>
      </c>
      <c r="O206" s="10">
        <f>Table1[[#This Row],[Precio unitario]]*Table1[[#This Row],[Cantidad]]</f>
        <v>18018</v>
      </c>
      <c r="P206" s="9">
        <v>1855.854</v>
      </c>
    </row>
    <row r="207" spans="1:16" x14ac:dyDescent="0.35">
      <c r="A207" s="7">
        <v>1237</v>
      </c>
      <c r="B207" s="12">
        <v>43321</v>
      </c>
      <c r="C207" s="7">
        <v>9</v>
      </c>
      <c r="D207" t="s">
        <v>53</v>
      </c>
      <c r="E207" t="s">
        <v>72</v>
      </c>
      <c r="F207" t="s">
        <v>89</v>
      </c>
      <c r="G207" t="s">
        <v>90</v>
      </c>
      <c r="H207" s="8">
        <v>43323</v>
      </c>
      <c r="I207" t="s">
        <v>22</v>
      </c>
      <c r="J207" t="s">
        <v>16</v>
      </c>
      <c r="K207" t="s">
        <v>56</v>
      </c>
      <c r="L207" t="s">
        <v>57</v>
      </c>
      <c r="M207" s="9">
        <v>487.19999999999993</v>
      </c>
      <c r="N207">
        <v>32</v>
      </c>
      <c r="O207" s="10">
        <f>Table1[[#This Row],[Precio unitario]]*Table1[[#This Row],[Cantidad]]</f>
        <v>15590.399999999998</v>
      </c>
      <c r="P207" s="9">
        <v>1559.04</v>
      </c>
    </row>
    <row r="208" spans="1:16" x14ac:dyDescent="0.35">
      <c r="A208" s="7">
        <v>1238</v>
      </c>
      <c r="B208" s="12">
        <v>43318</v>
      </c>
      <c r="C208" s="7">
        <v>6</v>
      </c>
      <c r="D208" t="s">
        <v>41</v>
      </c>
      <c r="E208" t="s">
        <v>78</v>
      </c>
      <c r="F208" t="s">
        <v>86</v>
      </c>
      <c r="G208" t="s">
        <v>91</v>
      </c>
      <c r="H208" s="8">
        <v>43320</v>
      </c>
      <c r="I208" t="s">
        <v>15</v>
      </c>
      <c r="J208" t="s">
        <v>23</v>
      </c>
      <c r="K208" t="s">
        <v>17</v>
      </c>
      <c r="L208" t="s">
        <v>18</v>
      </c>
      <c r="M208" s="9">
        <v>196</v>
      </c>
      <c r="N208">
        <v>52</v>
      </c>
      <c r="O208" s="10">
        <f>Table1[[#This Row],[Precio unitario]]*Table1[[#This Row],[Cantidad]]</f>
        <v>10192</v>
      </c>
      <c r="P208" s="9">
        <v>1019.1999999999999</v>
      </c>
    </row>
    <row r="209" spans="1:16" x14ac:dyDescent="0.35">
      <c r="A209" s="7">
        <v>1239</v>
      </c>
      <c r="B209" s="12">
        <v>43320</v>
      </c>
      <c r="C209" s="7">
        <v>8</v>
      </c>
      <c r="D209" t="s">
        <v>29</v>
      </c>
      <c r="E209" t="s">
        <v>75</v>
      </c>
      <c r="F209" t="s">
        <v>88</v>
      </c>
      <c r="G209" t="s">
        <v>92</v>
      </c>
      <c r="H209" s="8">
        <v>43322</v>
      </c>
      <c r="I209" t="s">
        <v>15</v>
      </c>
      <c r="J209" t="s">
        <v>16</v>
      </c>
      <c r="K209" t="s">
        <v>42</v>
      </c>
      <c r="L209" t="s">
        <v>43</v>
      </c>
      <c r="M209" s="9">
        <v>560</v>
      </c>
      <c r="N209">
        <v>78</v>
      </c>
      <c r="O209" s="10">
        <f>Table1[[#This Row],[Precio unitario]]*Table1[[#This Row],[Cantidad]]</f>
        <v>43680</v>
      </c>
      <c r="P209" s="9">
        <v>4455.3600000000006</v>
      </c>
    </row>
    <row r="210" spans="1:16" x14ac:dyDescent="0.35">
      <c r="A210" s="7">
        <v>1240</v>
      </c>
      <c r="B210" s="12">
        <v>43320</v>
      </c>
      <c r="C210" s="7">
        <v>8</v>
      </c>
      <c r="D210" t="s">
        <v>29</v>
      </c>
      <c r="E210" t="s">
        <v>75</v>
      </c>
      <c r="F210" t="s">
        <v>88</v>
      </c>
      <c r="G210" t="s">
        <v>30</v>
      </c>
      <c r="H210" s="8">
        <v>43322</v>
      </c>
      <c r="I210" t="s">
        <v>15</v>
      </c>
      <c r="J210" t="s">
        <v>16</v>
      </c>
      <c r="K210" t="s">
        <v>32</v>
      </c>
      <c r="L210" t="s">
        <v>33</v>
      </c>
      <c r="M210" s="9">
        <v>128.79999999999998</v>
      </c>
      <c r="N210">
        <v>54</v>
      </c>
      <c r="O210" s="10">
        <f>Table1[[#This Row],[Precio unitario]]*Table1[[#This Row],[Cantidad]]</f>
        <v>6955.1999999999989</v>
      </c>
      <c r="P210" s="9">
        <v>688.56479999999999</v>
      </c>
    </row>
    <row r="211" spans="1:16" x14ac:dyDescent="0.35">
      <c r="A211" s="7">
        <v>1241</v>
      </c>
      <c r="B211" s="12">
        <v>43337</v>
      </c>
      <c r="C211" s="7">
        <v>25</v>
      </c>
      <c r="D211" t="s">
        <v>59</v>
      </c>
      <c r="E211" t="s">
        <v>73</v>
      </c>
      <c r="F211" t="s">
        <v>85</v>
      </c>
      <c r="G211" t="s">
        <v>90</v>
      </c>
      <c r="H211" s="8">
        <v>43339</v>
      </c>
      <c r="I211" t="s">
        <v>22</v>
      </c>
      <c r="J211" t="s">
        <v>38</v>
      </c>
      <c r="K211" t="s">
        <v>94</v>
      </c>
      <c r="L211" t="s">
        <v>33</v>
      </c>
      <c r="M211" s="9">
        <v>140</v>
      </c>
      <c r="N211">
        <v>55</v>
      </c>
      <c r="O211" s="10">
        <f>Table1[[#This Row],[Precio unitario]]*Table1[[#This Row],[Cantidad]]</f>
        <v>7700</v>
      </c>
      <c r="P211" s="9">
        <v>731.5</v>
      </c>
    </row>
    <row r="212" spans="1:16" x14ac:dyDescent="0.35">
      <c r="A212" s="7">
        <v>1242</v>
      </c>
      <c r="B212" s="12">
        <v>43338</v>
      </c>
      <c r="C212" s="7">
        <v>26</v>
      </c>
      <c r="D212" t="s">
        <v>60</v>
      </c>
      <c r="E212" t="s">
        <v>71</v>
      </c>
      <c r="F212" t="s">
        <v>82</v>
      </c>
      <c r="G212" t="s">
        <v>91</v>
      </c>
      <c r="H212" s="8">
        <v>43340</v>
      </c>
      <c r="I212" t="s">
        <v>31</v>
      </c>
      <c r="J212" t="s">
        <v>23</v>
      </c>
      <c r="K212" t="s">
        <v>64</v>
      </c>
      <c r="L212" t="s">
        <v>65</v>
      </c>
      <c r="M212" s="9">
        <v>298.90000000000003</v>
      </c>
      <c r="N212">
        <v>60</v>
      </c>
      <c r="O212" s="10">
        <f>Table1[[#This Row],[Precio unitario]]*Table1[[#This Row],[Cantidad]]</f>
        <v>17934.000000000004</v>
      </c>
      <c r="P212" s="9">
        <v>1811.3340000000001</v>
      </c>
    </row>
    <row r="213" spans="1:16" x14ac:dyDescent="0.35">
      <c r="A213" s="7">
        <v>1243</v>
      </c>
      <c r="B213" s="12">
        <v>43338</v>
      </c>
      <c r="C213" s="7">
        <v>26</v>
      </c>
      <c r="D213" t="s">
        <v>60</v>
      </c>
      <c r="E213" t="s">
        <v>71</v>
      </c>
      <c r="F213" t="s">
        <v>82</v>
      </c>
      <c r="G213" t="s">
        <v>92</v>
      </c>
      <c r="H213" s="8">
        <v>43340</v>
      </c>
      <c r="I213" t="s">
        <v>31</v>
      </c>
      <c r="J213" t="s">
        <v>23</v>
      </c>
      <c r="K213" t="s">
        <v>39</v>
      </c>
      <c r="L213" t="s">
        <v>40</v>
      </c>
      <c r="M213" s="9">
        <v>135.1</v>
      </c>
      <c r="N213">
        <v>19</v>
      </c>
      <c r="O213" s="10">
        <f>Table1[[#This Row],[Precio unitario]]*Table1[[#This Row],[Cantidad]]</f>
        <v>2566.9</v>
      </c>
      <c r="P213" s="9">
        <v>243.85550000000001</v>
      </c>
    </row>
    <row r="214" spans="1:16" x14ac:dyDescent="0.35">
      <c r="A214" s="7">
        <v>1244</v>
      </c>
      <c r="B214" s="12">
        <v>43338</v>
      </c>
      <c r="C214" s="7">
        <v>26</v>
      </c>
      <c r="D214" t="s">
        <v>60</v>
      </c>
      <c r="E214" t="s">
        <v>71</v>
      </c>
      <c r="F214" t="s">
        <v>82</v>
      </c>
      <c r="G214" t="s">
        <v>30</v>
      </c>
      <c r="H214" s="8">
        <v>43340</v>
      </c>
      <c r="I214" t="s">
        <v>31</v>
      </c>
      <c r="J214" t="s">
        <v>23</v>
      </c>
      <c r="K214" t="s">
        <v>52</v>
      </c>
      <c r="L214" t="s">
        <v>97</v>
      </c>
      <c r="M214" s="9">
        <v>257.59999999999997</v>
      </c>
      <c r="N214">
        <v>66</v>
      </c>
      <c r="O214" s="10">
        <f>Table1[[#This Row],[Precio unitario]]*Table1[[#This Row],[Cantidad]]</f>
        <v>17001.599999999999</v>
      </c>
      <c r="P214" s="9">
        <v>1751.1648</v>
      </c>
    </row>
    <row r="215" spans="1:16" x14ac:dyDescent="0.35">
      <c r="A215" s="7">
        <v>1245</v>
      </c>
      <c r="B215" s="12">
        <v>43341</v>
      </c>
      <c r="C215" s="7">
        <v>29</v>
      </c>
      <c r="D215" t="s">
        <v>34</v>
      </c>
      <c r="E215" t="s">
        <v>76</v>
      </c>
      <c r="F215" t="s">
        <v>84</v>
      </c>
      <c r="G215" t="s">
        <v>90</v>
      </c>
      <c r="H215" s="8">
        <v>43343</v>
      </c>
      <c r="I215" t="s">
        <v>15</v>
      </c>
      <c r="J215" t="s">
        <v>16</v>
      </c>
      <c r="K215" t="s">
        <v>17</v>
      </c>
      <c r="L215" t="s">
        <v>18</v>
      </c>
      <c r="M215" s="9">
        <v>196</v>
      </c>
      <c r="N215">
        <v>42</v>
      </c>
      <c r="O215" s="10">
        <f>Table1[[#This Row],[Precio unitario]]*Table1[[#This Row],[Cantidad]]</f>
        <v>8232</v>
      </c>
      <c r="P215" s="9">
        <v>831.43200000000002</v>
      </c>
    </row>
    <row r="216" spans="1:16" x14ac:dyDescent="0.35">
      <c r="A216" s="7">
        <v>1246</v>
      </c>
      <c r="B216" s="12">
        <v>43318</v>
      </c>
      <c r="C216" s="7">
        <v>6</v>
      </c>
      <c r="D216" t="s">
        <v>41</v>
      </c>
      <c r="E216" t="s">
        <v>78</v>
      </c>
      <c r="F216" t="s">
        <v>86</v>
      </c>
      <c r="G216" t="s">
        <v>91</v>
      </c>
      <c r="H216" s="8">
        <v>43320</v>
      </c>
      <c r="I216" t="s">
        <v>31</v>
      </c>
      <c r="J216" t="s">
        <v>16</v>
      </c>
      <c r="K216" t="s">
        <v>35</v>
      </c>
      <c r="L216" t="s">
        <v>36</v>
      </c>
      <c r="M216" s="9">
        <v>178.5</v>
      </c>
      <c r="N216">
        <v>72</v>
      </c>
      <c r="O216" s="10">
        <f>Table1[[#This Row],[Precio unitario]]*Table1[[#This Row],[Cantidad]]</f>
        <v>12852</v>
      </c>
      <c r="P216" s="9">
        <v>1246.644</v>
      </c>
    </row>
    <row r="217" spans="1:16" x14ac:dyDescent="0.35">
      <c r="A217" s="7">
        <v>1248</v>
      </c>
      <c r="B217" s="12">
        <v>43316</v>
      </c>
      <c r="C217" s="7">
        <v>4</v>
      </c>
      <c r="D217" t="s">
        <v>21</v>
      </c>
      <c r="E217" t="s">
        <v>77</v>
      </c>
      <c r="F217" t="s">
        <v>83</v>
      </c>
      <c r="G217" t="s">
        <v>92</v>
      </c>
      <c r="H217" s="8">
        <v>43318</v>
      </c>
      <c r="I217" t="s">
        <v>22</v>
      </c>
      <c r="J217" t="s">
        <v>23</v>
      </c>
      <c r="K217" t="s">
        <v>66</v>
      </c>
      <c r="L217" t="s">
        <v>48</v>
      </c>
      <c r="M217" s="9">
        <v>1134</v>
      </c>
      <c r="N217">
        <v>32</v>
      </c>
      <c r="O217" s="10">
        <f>Table1[[#This Row],[Precio unitario]]*Table1[[#This Row],[Cantidad]]</f>
        <v>36288</v>
      </c>
      <c r="P217" s="9">
        <v>3519.9359999999997</v>
      </c>
    </row>
    <row r="218" spans="1:16" x14ac:dyDescent="0.35">
      <c r="A218" s="7">
        <v>1249</v>
      </c>
      <c r="B218" s="12">
        <v>43316</v>
      </c>
      <c r="C218" s="7">
        <v>4</v>
      </c>
      <c r="D218" t="s">
        <v>21</v>
      </c>
      <c r="E218" t="s">
        <v>77</v>
      </c>
      <c r="F218" t="s">
        <v>83</v>
      </c>
      <c r="G218" t="s">
        <v>30</v>
      </c>
      <c r="H218" s="8">
        <v>43318</v>
      </c>
      <c r="I218" t="s">
        <v>22</v>
      </c>
      <c r="J218" t="s">
        <v>23</v>
      </c>
      <c r="K218" t="s">
        <v>67</v>
      </c>
      <c r="L218" t="s">
        <v>98</v>
      </c>
      <c r="M218" s="9">
        <v>98</v>
      </c>
      <c r="N218">
        <v>76</v>
      </c>
      <c r="O218" s="10">
        <f>Table1[[#This Row],[Precio unitario]]*Table1[[#This Row],[Cantidad]]</f>
        <v>7448</v>
      </c>
      <c r="P218" s="9">
        <v>752.24800000000005</v>
      </c>
    </row>
    <row r="219" spans="1:16" x14ac:dyDescent="0.35">
      <c r="A219" s="7">
        <v>1250</v>
      </c>
      <c r="B219" s="12">
        <v>43353</v>
      </c>
      <c r="C219" s="7">
        <v>10</v>
      </c>
      <c r="D219" t="s">
        <v>45</v>
      </c>
      <c r="E219" t="s">
        <v>73</v>
      </c>
      <c r="F219" t="s">
        <v>85</v>
      </c>
      <c r="G219" t="s">
        <v>90</v>
      </c>
      <c r="H219" s="8">
        <v>43355</v>
      </c>
      <c r="I219" t="s">
        <v>22</v>
      </c>
      <c r="K219" t="s">
        <v>32</v>
      </c>
      <c r="L219" t="s">
        <v>33</v>
      </c>
      <c r="M219" s="9">
        <v>128.79999999999998</v>
      </c>
      <c r="N219">
        <v>83</v>
      </c>
      <c r="O219" s="10">
        <f>Table1[[#This Row],[Precio unitario]]*Table1[[#This Row],[Cantidad]]</f>
        <v>10690.399999999998</v>
      </c>
      <c r="P219" s="9">
        <v>1047.6591999999998</v>
      </c>
    </row>
    <row r="220" spans="1:16" x14ac:dyDescent="0.35">
      <c r="A220" s="7">
        <v>1251</v>
      </c>
      <c r="B220" s="12">
        <v>43354</v>
      </c>
      <c r="C220" s="7">
        <v>11</v>
      </c>
      <c r="D220" t="s">
        <v>50</v>
      </c>
      <c r="E220" t="s">
        <v>71</v>
      </c>
      <c r="F220" t="s">
        <v>82</v>
      </c>
      <c r="G220" t="s">
        <v>91</v>
      </c>
      <c r="H220" s="8"/>
      <c r="I220" t="s">
        <v>31</v>
      </c>
      <c r="K220" t="s">
        <v>19</v>
      </c>
      <c r="L220" t="s">
        <v>20</v>
      </c>
      <c r="M220" s="9">
        <v>49</v>
      </c>
      <c r="N220">
        <v>91</v>
      </c>
      <c r="O220" s="10">
        <f>Table1[[#This Row],[Precio unitario]]*Table1[[#This Row],[Cantidad]]</f>
        <v>4459</v>
      </c>
      <c r="P220" s="9">
        <v>436.98200000000003</v>
      </c>
    </row>
    <row r="221" spans="1:16" x14ac:dyDescent="0.35">
      <c r="A221" s="7">
        <v>1252</v>
      </c>
      <c r="B221" s="12">
        <v>43354</v>
      </c>
      <c r="C221" s="7">
        <v>11</v>
      </c>
      <c r="D221" t="s">
        <v>50</v>
      </c>
      <c r="E221" t="s">
        <v>71</v>
      </c>
      <c r="F221" t="s">
        <v>82</v>
      </c>
      <c r="G221" t="s">
        <v>92</v>
      </c>
      <c r="H221" s="8"/>
      <c r="I221" t="s">
        <v>31</v>
      </c>
      <c r="K221" t="s">
        <v>46</v>
      </c>
      <c r="L221" t="s">
        <v>18</v>
      </c>
      <c r="M221" s="9">
        <v>41.86</v>
      </c>
      <c r="N221">
        <v>64</v>
      </c>
      <c r="O221" s="10">
        <f>Table1[[#This Row],[Precio unitario]]*Table1[[#This Row],[Cantidad]]</f>
        <v>2679.04</v>
      </c>
      <c r="P221" s="9">
        <v>273.26208000000003</v>
      </c>
    </row>
    <row r="222" spans="1:16" x14ac:dyDescent="0.35">
      <c r="A222" s="7">
        <v>1253</v>
      </c>
      <c r="B222" s="12">
        <v>43344</v>
      </c>
      <c r="C222" s="7">
        <v>1</v>
      </c>
      <c r="D222" t="s">
        <v>51</v>
      </c>
      <c r="E222" t="s">
        <v>80</v>
      </c>
      <c r="F222" t="s">
        <v>88</v>
      </c>
      <c r="G222" t="s">
        <v>30</v>
      </c>
      <c r="H222" s="8"/>
      <c r="K222" t="s">
        <v>27</v>
      </c>
      <c r="L222" t="s">
        <v>18</v>
      </c>
      <c r="M222" s="9">
        <v>252</v>
      </c>
      <c r="N222">
        <v>58</v>
      </c>
      <c r="O222" s="10">
        <f>Table1[[#This Row],[Precio unitario]]*Table1[[#This Row],[Cantidad]]</f>
        <v>14616</v>
      </c>
      <c r="P222" s="9">
        <v>1446.9840000000002</v>
      </c>
    </row>
    <row r="223" spans="1:16" x14ac:dyDescent="0.35">
      <c r="A223" s="7">
        <v>1254</v>
      </c>
      <c r="B223" s="12">
        <v>43344</v>
      </c>
      <c r="C223" s="7">
        <v>1</v>
      </c>
      <c r="D223" t="s">
        <v>51</v>
      </c>
      <c r="E223" t="s">
        <v>80</v>
      </c>
      <c r="F223" t="s">
        <v>88</v>
      </c>
      <c r="G223" t="s">
        <v>90</v>
      </c>
      <c r="H223" s="8"/>
      <c r="K223" t="s">
        <v>28</v>
      </c>
      <c r="L223" t="s">
        <v>18</v>
      </c>
      <c r="M223" s="9">
        <v>644</v>
      </c>
      <c r="N223">
        <v>97</v>
      </c>
      <c r="O223" s="10">
        <f>Table1[[#This Row],[Precio unitario]]*Table1[[#This Row],[Cantidad]]</f>
        <v>62468</v>
      </c>
      <c r="P223" s="9">
        <v>6496.6720000000005</v>
      </c>
    </row>
    <row r="224" spans="1:16" x14ac:dyDescent="0.35">
      <c r="A224" s="7">
        <v>1255</v>
      </c>
      <c r="B224" s="12">
        <v>43344</v>
      </c>
      <c r="C224" s="7">
        <v>1</v>
      </c>
      <c r="D224" t="s">
        <v>51</v>
      </c>
      <c r="E224" t="s">
        <v>80</v>
      </c>
      <c r="F224" t="s">
        <v>88</v>
      </c>
      <c r="G224" t="s">
        <v>91</v>
      </c>
      <c r="H224" s="8"/>
      <c r="K224" t="s">
        <v>46</v>
      </c>
      <c r="L224" t="s">
        <v>18</v>
      </c>
      <c r="M224" s="9">
        <v>41.86</v>
      </c>
      <c r="N224">
        <v>14</v>
      </c>
      <c r="O224" s="10">
        <f>Table1[[#This Row],[Precio unitario]]*Table1[[#This Row],[Cantidad]]</f>
        <v>586.04</v>
      </c>
      <c r="P224" s="9">
        <v>60.948160000000001</v>
      </c>
    </row>
    <row r="225" spans="1:16" x14ac:dyDescent="0.35">
      <c r="A225" s="7">
        <v>1256</v>
      </c>
      <c r="B225" s="12">
        <v>43371</v>
      </c>
      <c r="C225" s="7">
        <v>28</v>
      </c>
      <c r="D225" t="s">
        <v>44</v>
      </c>
      <c r="E225" t="s">
        <v>79</v>
      </c>
      <c r="F225" t="s">
        <v>82</v>
      </c>
      <c r="G225" t="s">
        <v>92</v>
      </c>
      <c r="H225" s="8">
        <v>43373</v>
      </c>
      <c r="I225" t="s">
        <v>31</v>
      </c>
      <c r="J225" t="s">
        <v>23</v>
      </c>
      <c r="K225" t="s">
        <v>39</v>
      </c>
      <c r="L225" t="s">
        <v>40</v>
      </c>
      <c r="M225" s="9">
        <v>135.1</v>
      </c>
      <c r="N225">
        <v>68</v>
      </c>
      <c r="O225" s="10">
        <f>Table1[[#This Row],[Precio unitario]]*Table1[[#This Row],[Cantidad]]</f>
        <v>9186.7999999999993</v>
      </c>
      <c r="P225" s="9">
        <v>900.30640000000017</v>
      </c>
    </row>
    <row r="226" spans="1:16" x14ac:dyDescent="0.35">
      <c r="A226" s="7">
        <v>1257</v>
      </c>
      <c r="B226" s="12">
        <v>43371</v>
      </c>
      <c r="C226" s="7">
        <v>28</v>
      </c>
      <c r="D226" t="s">
        <v>44</v>
      </c>
      <c r="E226" t="s">
        <v>79</v>
      </c>
      <c r="F226" t="s">
        <v>82</v>
      </c>
      <c r="G226" t="s">
        <v>30</v>
      </c>
      <c r="H226" s="8">
        <v>43373</v>
      </c>
      <c r="I226" t="s">
        <v>31</v>
      </c>
      <c r="J226" t="s">
        <v>23</v>
      </c>
      <c r="K226" t="s">
        <v>52</v>
      </c>
      <c r="L226" t="s">
        <v>97</v>
      </c>
      <c r="M226" s="9">
        <v>257.59999999999997</v>
      </c>
      <c r="N226">
        <v>32</v>
      </c>
      <c r="O226" s="10">
        <f>Table1[[#This Row],[Precio unitario]]*Table1[[#This Row],[Cantidad]]</f>
        <v>8243.1999999999989</v>
      </c>
      <c r="P226" s="9">
        <v>824.31999999999994</v>
      </c>
    </row>
    <row r="227" spans="1:16" x14ac:dyDescent="0.35">
      <c r="A227" s="7">
        <v>1258</v>
      </c>
      <c r="B227" s="12">
        <v>43352</v>
      </c>
      <c r="C227" s="7">
        <v>9</v>
      </c>
      <c r="D227" t="s">
        <v>53</v>
      </c>
      <c r="E227" t="s">
        <v>72</v>
      </c>
      <c r="F227" t="s">
        <v>89</v>
      </c>
      <c r="G227" t="s">
        <v>90</v>
      </c>
      <c r="H227" s="8">
        <v>43354</v>
      </c>
      <c r="I227" t="s">
        <v>22</v>
      </c>
      <c r="J227" t="s">
        <v>16</v>
      </c>
      <c r="K227" t="s">
        <v>54</v>
      </c>
      <c r="L227" t="s">
        <v>55</v>
      </c>
      <c r="M227" s="9">
        <v>273</v>
      </c>
      <c r="N227">
        <v>48</v>
      </c>
      <c r="O227" s="10">
        <f>Table1[[#This Row],[Precio unitario]]*Table1[[#This Row],[Cantidad]]</f>
        <v>13104</v>
      </c>
      <c r="P227" s="9">
        <v>1323.5040000000001</v>
      </c>
    </row>
    <row r="228" spans="1:16" x14ac:dyDescent="0.35">
      <c r="A228" s="7">
        <v>1259</v>
      </c>
      <c r="B228" s="12">
        <v>43352</v>
      </c>
      <c r="C228" s="7">
        <v>9</v>
      </c>
      <c r="D228" t="s">
        <v>53</v>
      </c>
      <c r="E228" t="s">
        <v>72</v>
      </c>
      <c r="F228" t="s">
        <v>89</v>
      </c>
      <c r="G228" t="s">
        <v>91</v>
      </c>
      <c r="H228" s="8">
        <v>43354</v>
      </c>
      <c r="I228" t="s">
        <v>22</v>
      </c>
      <c r="J228" t="s">
        <v>16</v>
      </c>
      <c r="K228" t="s">
        <v>56</v>
      </c>
      <c r="L228" t="s">
        <v>57</v>
      </c>
      <c r="M228" s="9">
        <v>487.19999999999993</v>
      </c>
      <c r="N228">
        <v>57</v>
      </c>
      <c r="O228" s="10">
        <f>Table1[[#This Row],[Precio unitario]]*Table1[[#This Row],[Cantidad]]</f>
        <v>27770.399999999998</v>
      </c>
      <c r="P228" s="9">
        <v>2721.4992000000002</v>
      </c>
    </row>
    <row r="229" spans="1:16" x14ac:dyDescent="0.35">
      <c r="A229" s="7">
        <v>1260</v>
      </c>
      <c r="B229" s="12">
        <v>43349</v>
      </c>
      <c r="C229" s="7">
        <v>6</v>
      </c>
      <c r="D229" t="s">
        <v>41</v>
      </c>
      <c r="E229" t="s">
        <v>78</v>
      </c>
      <c r="F229" t="s">
        <v>86</v>
      </c>
      <c r="G229" t="s">
        <v>92</v>
      </c>
      <c r="H229" s="8">
        <v>43351</v>
      </c>
      <c r="I229" t="s">
        <v>15</v>
      </c>
      <c r="J229" t="s">
        <v>23</v>
      </c>
      <c r="K229" t="s">
        <v>17</v>
      </c>
      <c r="L229" t="s">
        <v>18</v>
      </c>
      <c r="M229" s="9">
        <v>196</v>
      </c>
      <c r="N229">
        <v>67</v>
      </c>
      <c r="O229" s="10">
        <f>Table1[[#This Row],[Precio unitario]]*Table1[[#This Row],[Cantidad]]</f>
        <v>13132</v>
      </c>
      <c r="P229" s="9">
        <v>1378.8600000000001</v>
      </c>
    </row>
    <row r="230" spans="1:16" x14ac:dyDescent="0.35">
      <c r="A230" s="7">
        <v>1261</v>
      </c>
      <c r="B230" s="12">
        <v>43351</v>
      </c>
      <c r="C230" s="7">
        <v>8</v>
      </c>
      <c r="D230" t="s">
        <v>29</v>
      </c>
      <c r="E230" t="s">
        <v>75</v>
      </c>
      <c r="F230" t="s">
        <v>88</v>
      </c>
      <c r="G230" t="s">
        <v>30</v>
      </c>
      <c r="H230" s="8">
        <v>43353</v>
      </c>
      <c r="I230" t="s">
        <v>15</v>
      </c>
      <c r="J230" t="s">
        <v>16</v>
      </c>
      <c r="K230" t="s">
        <v>42</v>
      </c>
      <c r="L230" t="s">
        <v>43</v>
      </c>
      <c r="M230" s="9">
        <v>560</v>
      </c>
      <c r="N230">
        <v>48</v>
      </c>
      <c r="O230" s="10">
        <f>Table1[[#This Row],[Precio unitario]]*Table1[[#This Row],[Cantidad]]</f>
        <v>26880</v>
      </c>
      <c r="P230" s="9">
        <v>2634.24</v>
      </c>
    </row>
    <row r="231" spans="1:16" x14ac:dyDescent="0.35">
      <c r="A231" s="7">
        <v>1262</v>
      </c>
      <c r="B231" s="12">
        <v>43351</v>
      </c>
      <c r="C231" s="7">
        <v>8</v>
      </c>
      <c r="D231" t="s">
        <v>29</v>
      </c>
      <c r="E231" t="s">
        <v>75</v>
      </c>
      <c r="F231" t="s">
        <v>88</v>
      </c>
      <c r="G231" t="s">
        <v>90</v>
      </c>
      <c r="H231" s="8">
        <v>43353</v>
      </c>
      <c r="I231" t="s">
        <v>15</v>
      </c>
      <c r="J231" t="s">
        <v>16</v>
      </c>
      <c r="K231" t="s">
        <v>32</v>
      </c>
      <c r="L231" t="s">
        <v>33</v>
      </c>
      <c r="M231" s="9">
        <v>128.79999999999998</v>
      </c>
      <c r="N231">
        <v>77</v>
      </c>
      <c r="O231" s="10">
        <f>Table1[[#This Row],[Precio unitario]]*Table1[[#This Row],[Cantidad]]</f>
        <v>9917.5999999999985</v>
      </c>
      <c r="P231" s="9">
        <v>1011.5952</v>
      </c>
    </row>
    <row r="232" spans="1:16" x14ac:dyDescent="0.35">
      <c r="A232" s="7">
        <v>1263</v>
      </c>
      <c r="B232" s="12">
        <v>43368</v>
      </c>
      <c r="C232" s="7">
        <v>25</v>
      </c>
      <c r="D232" t="s">
        <v>59</v>
      </c>
      <c r="E232" t="s">
        <v>73</v>
      </c>
      <c r="F232" t="s">
        <v>85</v>
      </c>
      <c r="G232" t="s">
        <v>91</v>
      </c>
      <c r="H232" s="8">
        <v>43370</v>
      </c>
      <c r="I232" t="s">
        <v>22</v>
      </c>
      <c r="J232" t="s">
        <v>38</v>
      </c>
      <c r="K232" t="s">
        <v>94</v>
      </c>
      <c r="L232" t="s">
        <v>33</v>
      </c>
      <c r="M232" s="9">
        <v>140</v>
      </c>
      <c r="N232">
        <v>94</v>
      </c>
      <c r="O232" s="10">
        <f>Table1[[#This Row],[Precio unitario]]*Table1[[#This Row],[Cantidad]]</f>
        <v>13160</v>
      </c>
      <c r="P232" s="9">
        <v>1368.64</v>
      </c>
    </row>
    <row r="233" spans="1:16" x14ac:dyDescent="0.35">
      <c r="A233" s="7">
        <v>1264</v>
      </c>
      <c r="B233" s="12">
        <v>43369</v>
      </c>
      <c r="C233" s="7">
        <v>26</v>
      </c>
      <c r="D233" t="s">
        <v>60</v>
      </c>
      <c r="E233" t="s">
        <v>71</v>
      </c>
      <c r="F233" t="s">
        <v>82</v>
      </c>
      <c r="G233" t="s">
        <v>92</v>
      </c>
      <c r="H233" s="8">
        <v>43371</v>
      </c>
      <c r="I233" t="s">
        <v>31</v>
      </c>
      <c r="J233" t="s">
        <v>23</v>
      </c>
      <c r="K233" t="s">
        <v>64</v>
      </c>
      <c r="L233" t="s">
        <v>65</v>
      </c>
      <c r="M233" s="9">
        <v>298.90000000000003</v>
      </c>
      <c r="N233">
        <v>54</v>
      </c>
      <c r="O233" s="10">
        <f>Table1[[#This Row],[Precio unitario]]*Table1[[#This Row],[Cantidad]]</f>
        <v>16140.600000000002</v>
      </c>
      <c r="P233" s="9">
        <v>1694.7630000000004</v>
      </c>
    </row>
    <row r="234" spans="1:16" x14ac:dyDescent="0.35">
      <c r="A234" s="7">
        <v>1265</v>
      </c>
      <c r="B234" s="12">
        <v>43369</v>
      </c>
      <c r="C234" s="7">
        <v>26</v>
      </c>
      <c r="D234" t="s">
        <v>60</v>
      </c>
      <c r="E234" t="s">
        <v>71</v>
      </c>
      <c r="F234" t="s">
        <v>82</v>
      </c>
      <c r="G234" t="s">
        <v>30</v>
      </c>
      <c r="H234" s="8">
        <v>43371</v>
      </c>
      <c r="I234" t="s">
        <v>31</v>
      </c>
      <c r="J234" t="s">
        <v>23</v>
      </c>
      <c r="K234" t="s">
        <v>39</v>
      </c>
      <c r="L234" t="s">
        <v>40</v>
      </c>
      <c r="M234" s="9">
        <v>135.1</v>
      </c>
      <c r="N234">
        <v>43</v>
      </c>
      <c r="O234" s="10">
        <f>Table1[[#This Row],[Precio unitario]]*Table1[[#This Row],[Cantidad]]</f>
        <v>5809.3</v>
      </c>
      <c r="P234" s="9">
        <v>563.50210000000004</v>
      </c>
    </row>
    <row r="235" spans="1:16" x14ac:dyDescent="0.35">
      <c r="A235" s="7">
        <v>1266</v>
      </c>
      <c r="B235" s="12">
        <v>43369</v>
      </c>
      <c r="C235" s="7">
        <v>26</v>
      </c>
      <c r="D235" t="s">
        <v>60</v>
      </c>
      <c r="E235" t="s">
        <v>71</v>
      </c>
      <c r="F235" t="s">
        <v>82</v>
      </c>
      <c r="G235" t="s">
        <v>90</v>
      </c>
      <c r="H235" s="8">
        <v>43371</v>
      </c>
      <c r="I235" t="s">
        <v>31</v>
      </c>
      <c r="J235" t="s">
        <v>23</v>
      </c>
      <c r="K235" t="s">
        <v>52</v>
      </c>
      <c r="L235" t="s">
        <v>97</v>
      </c>
      <c r="M235" s="9">
        <v>257.59999999999997</v>
      </c>
      <c r="N235">
        <v>71</v>
      </c>
      <c r="O235" s="10">
        <f>Table1[[#This Row],[Precio unitario]]*Table1[[#This Row],[Cantidad]]</f>
        <v>18289.599999999999</v>
      </c>
      <c r="P235" s="9">
        <v>1883.8287999999998</v>
      </c>
    </row>
    <row r="236" spans="1:16" x14ac:dyDescent="0.35">
      <c r="A236" s="7">
        <v>1267</v>
      </c>
      <c r="B236" s="12">
        <v>43372</v>
      </c>
      <c r="C236" s="7">
        <v>29</v>
      </c>
      <c r="D236" t="s">
        <v>34</v>
      </c>
      <c r="E236" t="s">
        <v>76</v>
      </c>
      <c r="F236" t="s">
        <v>84</v>
      </c>
      <c r="G236" t="s">
        <v>91</v>
      </c>
      <c r="H236" s="8">
        <v>43374</v>
      </c>
      <c r="I236" t="s">
        <v>15</v>
      </c>
      <c r="J236" t="s">
        <v>16</v>
      </c>
      <c r="K236" t="s">
        <v>17</v>
      </c>
      <c r="L236" t="s">
        <v>18</v>
      </c>
      <c r="M236" s="9">
        <v>196</v>
      </c>
      <c r="N236">
        <v>50</v>
      </c>
      <c r="O236" s="10">
        <f>Table1[[#This Row],[Precio unitario]]*Table1[[#This Row],[Cantidad]]</f>
        <v>9800</v>
      </c>
      <c r="P236" s="9">
        <v>940.80000000000007</v>
      </c>
    </row>
    <row r="237" spans="1:16" x14ac:dyDescent="0.35">
      <c r="A237" s="7">
        <v>1268</v>
      </c>
      <c r="B237" s="12">
        <v>43349</v>
      </c>
      <c r="C237" s="7">
        <v>6</v>
      </c>
      <c r="D237" t="s">
        <v>41</v>
      </c>
      <c r="E237" t="s">
        <v>78</v>
      </c>
      <c r="F237" t="s">
        <v>86</v>
      </c>
      <c r="G237" t="s">
        <v>92</v>
      </c>
      <c r="H237" s="8">
        <v>43351</v>
      </c>
      <c r="I237" t="s">
        <v>31</v>
      </c>
      <c r="J237" t="s">
        <v>16</v>
      </c>
      <c r="K237" t="s">
        <v>35</v>
      </c>
      <c r="L237" t="s">
        <v>36</v>
      </c>
      <c r="M237" s="9">
        <v>178.5</v>
      </c>
      <c r="N237">
        <v>96</v>
      </c>
      <c r="O237" s="10">
        <f>Table1[[#This Row],[Precio unitario]]*Table1[[#This Row],[Cantidad]]</f>
        <v>17136</v>
      </c>
      <c r="P237" s="9">
        <v>1679.328</v>
      </c>
    </row>
    <row r="238" spans="1:16" x14ac:dyDescent="0.35">
      <c r="A238" s="7">
        <v>1270</v>
      </c>
      <c r="B238" s="12">
        <v>43347</v>
      </c>
      <c r="C238" s="7">
        <v>4</v>
      </c>
      <c r="D238" t="s">
        <v>21</v>
      </c>
      <c r="E238" t="s">
        <v>77</v>
      </c>
      <c r="F238" t="s">
        <v>83</v>
      </c>
      <c r="G238" t="s">
        <v>30</v>
      </c>
      <c r="H238" s="8">
        <v>43349</v>
      </c>
      <c r="I238" t="s">
        <v>22</v>
      </c>
      <c r="J238" t="s">
        <v>23</v>
      </c>
      <c r="K238" t="s">
        <v>66</v>
      </c>
      <c r="L238" t="s">
        <v>48</v>
      </c>
      <c r="M238" s="9">
        <v>1134</v>
      </c>
      <c r="N238">
        <v>54</v>
      </c>
      <c r="O238" s="10">
        <f>Table1[[#This Row],[Precio unitario]]*Table1[[#This Row],[Cantidad]]</f>
        <v>61236</v>
      </c>
      <c r="P238" s="9">
        <v>6123.6</v>
      </c>
    </row>
    <row r="239" spans="1:16" x14ac:dyDescent="0.35">
      <c r="A239" s="7">
        <v>1271</v>
      </c>
      <c r="B239" s="12">
        <v>43347</v>
      </c>
      <c r="C239" s="7">
        <v>4</v>
      </c>
      <c r="D239" t="s">
        <v>21</v>
      </c>
      <c r="E239" t="s">
        <v>77</v>
      </c>
      <c r="F239" t="s">
        <v>83</v>
      </c>
      <c r="G239" t="s">
        <v>90</v>
      </c>
      <c r="H239" s="8">
        <v>43349</v>
      </c>
      <c r="I239" t="s">
        <v>22</v>
      </c>
      <c r="J239" t="s">
        <v>23</v>
      </c>
      <c r="K239" t="s">
        <v>67</v>
      </c>
      <c r="L239" t="s">
        <v>98</v>
      </c>
      <c r="M239" s="9">
        <v>98</v>
      </c>
      <c r="N239">
        <v>39</v>
      </c>
      <c r="O239" s="10">
        <f>Table1[[#This Row],[Precio unitario]]*Table1[[#This Row],[Cantidad]]</f>
        <v>3822</v>
      </c>
      <c r="P239" s="9">
        <v>382.2</v>
      </c>
    </row>
    <row r="240" spans="1:16" x14ac:dyDescent="0.35">
      <c r="A240" s="7">
        <v>1273</v>
      </c>
      <c r="B240" s="12">
        <v>43351</v>
      </c>
      <c r="C240" s="7">
        <v>8</v>
      </c>
      <c r="D240" t="s">
        <v>29</v>
      </c>
      <c r="E240" t="s">
        <v>75</v>
      </c>
      <c r="F240" t="s">
        <v>88</v>
      </c>
      <c r="G240" t="s">
        <v>91</v>
      </c>
      <c r="H240" s="8">
        <v>43353</v>
      </c>
      <c r="I240" t="s">
        <v>31</v>
      </c>
      <c r="J240" t="s">
        <v>23</v>
      </c>
      <c r="K240" t="s">
        <v>56</v>
      </c>
      <c r="L240" t="s">
        <v>57</v>
      </c>
      <c r="M240" s="9">
        <v>487.19999999999993</v>
      </c>
      <c r="N240">
        <v>63</v>
      </c>
      <c r="O240" s="10">
        <f>Table1[[#This Row],[Precio unitario]]*Table1[[#This Row],[Cantidad]]</f>
        <v>30693.599999999995</v>
      </c>
      <c r="P240" s="9">
        <v>3222.828</v>
      </c>
    </row>
    <row r="241" spans="1:16" x14ac:dyDescent="0.35">
      <c r="A241" s="7">
        <v>1276</v>
      </c>
      <c r="B241" s="12">
        <v>43346</v>
      </c>
      <c r="C241" s="7">
        <v>3</v>
      </c>
      <c r="D241" t="s">
        <v>37</v>
      </c>
      <c r="E241" t="s">
        <v>69</v>
      </c>
      <c r="F241" t="s">
        <v>87</v>
      </c>
      <c r="G241" t="s">
        <v>92</v>
      </c>
      <c r="H241" s="8">
        <v>43348</v>
      </c>
      <c r="I241" t="s">
        <v>15</v>
      </c>
      <c r="J241" t="s">
        <v>38</v>
      </c>
      <c r="K241" t="s">
        <v>95</v>
      </c>
      <c r="L241" t="s">
        <v>49</v>
      </c>
      <c r="M241" s="9">
        <v>140</v>
      </c>
      <c r="N241">
        <v>71</v>
      </c>
      <c r="O241" s="10">
        <f>Table1[[#This Row],[Precio unitario]]*Table1[[#This Row],[Cantidad]]</f>
        <v>9940</v>
      </c>
      <c r="P241" s="9">
        <v>1023.8199999999999</v>
      </c>
    </row>
    <row r="242" spans="1:16" x14ac:dyDescent="0.35">
      <c r="A242" s="7">
        <v>1277</v>
      </c>
      <c r="B242" s="12">
        <v>43346</v>
      </c>
      <c r="C242" s="7">
        <v>3</v>
      </c>
      <c r="D242" t="s">
        <v>37</v>
      </c>
      <c r="E242" t="s">
        <v>69</v>
      </c>
      <c r="F242" t="s">
        <v>87</v>
      </c>
      <c r="G242" t="s">
        <v>30</v>
      </c>
      <c r="H242" s="8">
        <v>43348</v>
      </c>
      <c r="I242" t="s">
        <v>15</v>
      </c>
      <c r="J242" t="s">
        <v>38</v>
      </c>
      <c r="K242" t="s">
        <v>42</v>
      </c>
      <c r="L242" t="s">
        <v>43</v>
      </c>
      <c r="M242" s="9">
        <v>560</v>
      </c>
      <c r="N242">
        <v>88</v>
      </c>
      <c r="O242" s="10">
        <f>Table1[[#This Row],[Precio unitario]]*Table1[[#This Row],[Cantidad]]</f>
        <v>49280</v>
      </c>
      <c r="P242" s="9">
        <v>5125.1200000000008</v>
      </c>
    </row>
    <row r="243" spans="1:16" x14ac:dyDescent="0.35">
      <c r="A243" s="7">
        <v>1281</v>
      </c>
      <c r="B243" s="12">
        <v>43353</v>
      </c>
      <c r="C243" s="7">
        <v>10</v>
      </c>
      <c r="D243" t="s">
        <v>45</v>
      </c>
      <c r="E243" t="s">
        <v>73</v>
      </c>
      <c r="F243" t="s">
        <v>85</v>
      </c>
      <c r="G243" t="s">
        <v>90</v>
      </c>
      <c r="H243" s="8">
        <v>43355</v>
      </c>
      <c r="I243" t="s">
        <v>15</v>
      </c>
      <c r="J243" t="s">
        <v>23</v>
      </c>
      <c r="K243" t="s">
        <v>58</v>
      </c>
      <c r="L243" t="s">
        <v>20</v>
      </c>
      <c r="M243" s="9">
        <v>140</v>
      </c>
      <c r="N243">
        <v>59</v>
      </c>
      <c r="O243" s="10">
        <f>Table1[[#This Row],[Precio unitario]]*Table1[[#This Row],[Cantidad]]</f>
        <v>8260</v>
      </c>
      <c r="P243" s="9">
        <v>834.26</v>
      </c>
    </row>
    <row r="244" spans="1:16" x14ac:dyDescent="0.35">
      <c r="A244" s="7">
        <v>1282</v>
      </c>
      <c r="B244" s="12">
        <v>43379</v>
      </c>
      <c r="C244" s="7">
        <v>6</v>
      </c>
      <c r="D244" t="s">
        <v>41</v>
      </c>
      <c r="E244" t="s">
        <v>78</v>
      </c>
      <c r="F244" t="s">
        <v>86</v>
      </c>
      <c r="G244" t="s">
        <v>91</v>
      </c>
      <c r="H244" s="8">
        <v>43381</v>
      </c>
      <c r="I244" t="s">
        <v>15</v>
      </c>
      <c r="J244" t="s">
        <v>23</v>
      </c>
      <c r="K244" t="s">
        <v>42</v>
      </c>
      <c r="L244" t="s">
        <v>43</v>
      </c>
      <c r="M244" s="9">
        <v>560</v>
      </c>
      <c r="N244">
        <v>94</v>
      </c>
      <c r="O244" s="10">
        <f>Table1[[#This Row],[Precio unitario]]*Table1[[#This Row],[Cantidad]]</f>
        <v>52640</v>
      </c>
      <c r="P244" s="9">
        <v>5264</v>
      </c>
    </row>
    <row r="245" spans="1:16" x14ac:dyDescent="0.35">
      <c r="A245" s="7">
        <v>1283</v>
      </c>
      <c r="B245" s="12">
        <v>43401</v>
      </c>
      <c r="C245" s="7">
        <v>28</v>
      </c>
      <c r="D245" t="s">
        <v>44</v>
      </c>
      <c r="E245" t="s">
        <v>79</v>
      </c>
      <c r="F245" t="s">
        <v>82</v>
      </c>
      <c r="G245" t="s">
        <v>92</v>
      </c>
      <c r="H245" s="8">
        <v>43403</v>
      </c>
      <c r="I245" t="s">
        <v>31</v>
      </c>
      <c r="J245" t="s">
        <v>16</v>
      </c>
      <c r="K245" t="s">
        <v>28</v>
      </c>
      <c r="L245" t="s">
        <v>18</v>
      </c>
      <c r="M245" s="9">
        <v>644</v>
      </c>
      <c r="N245">
        <v>86</v>
      </c>
      <c r="O245" s="10">
        <f>Table1[[#This Row],[Precio unitario]]*Table1[[#This Row],[Cantidad]]</f>
        <v>55384</v>
      </c>
      <c r="P245" s="9">
        <v>5316.8640000000005</v>
      </c>
    </row>
    <row r="246" spans="1:16" x14ac:dyDescent="0.35">
      <c r="A246" s="7">
        <v>1284</v>
      </c>
      <c r="B246" s="12">
        <v>43381</v>
      </c>
      <c r="C246" s="7">
        <v>8</v>
      </c>
      <c r="D246" t="s">
        <v>29</v>
      </c>
      <c r="E246" t="s">
        <v>75</v>
      </c>
      <c r="F246" t="s">
        <v>88</v>
      </c>
      <c r="G246" t="s">
        <v>30</v>
      </c>
      <c r="H246" s="8">
        <v>43383</v>
      </c>
      <c r="I246" t="s">
        <v>31</v>
      </c>
      <c r="J246" t="s">
        <v>16</v>
      </c>
      <c r="K246" t="s">
        <v>35</v>
      </c>
      <c r="L246" t="s">
        <v>36</v>
      </c>
      <c r="M246" s="9">
        <v>178.5</v>
      </c>
      <c r="N246">
        <v>61</v>
      </c>
      <c r="O246" s="10">
        <f>Table1[[#This Row],[Precio unitario]]*Table1[[#This Row],[Cantidad]]</f>
        <v>10888.5</v>
      </c>
      <c r="P246" s="9">
        <v>1099.7384999999999</v>
      </c>
    </row>
    <row r="247" spans="1:16" x14ac:dyDescent="0.35">
      <c r="A247" s="7">
        <v>1285</v>
      </c>
      <c r="B247" s="12">
        <v>43383</v>
      </c>
      <c r="C247" s="7">
        <v>10</v>
      </c>
      <c r="D247" t="s">
        <v>45</v>
      </c>
      <c r="E247" t="s">
        <v>73</v>
      </c>
      <c r="F247" t="s">
        <v>85</v>
      </c>
      <c r="G247" t="s">
        <v>90</v>
      </c>
      <c r="H247" s="8">
        <v>43385</v>
      </c>
      <c r="I247" t="s">
        <v>15</v>
      </c>
      <c r="J247" t="s">
        <v>23</v>
      </c>
      <c r="K247" t="s">
        <v>46</v>
      </c>
      <c r="L247" t="s">
        <v>18</v>
      </c>
      <c r="M247" s="9">
        <v>41.86</v>
      </c>
      <c r="N247">
        <v>32</v>
      </c>
      <c r="O247" s="10">
        <f>Table1[[#This Row],[Precio unitario]]*Table1[[#This Row],[Cantidad]]</f>
        <v>1339.52</v>
      </c>
      <c r="P247" s="9">
        <v>136.63104000000001</v>
      </c>
    </row>
    <row r="248" spans="1:16" x14ac:dyDescent="0.35">
      <c r="A248" s="7">
        <v>1286</v>
      </c>
      <c r="B248" s="12">
        <v>43380</v>
      </c>
      <c r="C248" s="7">
        <v>7</v>
      </c>
      <c r="D248" t="s">
        <v>47</v>
      </c>
      <c r="E248" t="s">
        <v>70</v>
      </c>
      <c r="F248" t="s">
        <v>88</v>
      </c>
      <c r="G248" t="s">
        <v>91</v>
      </c>
      <c r="H248" s="8"/>
      <c r="K248" t="s">
        <v>28</v>
      </c>
      <c r="L248" t="s">
        <v>18</v>
      </c>
      <c r="M248" s="9">
        <v>644</v>
      </c>
      <c r="N248">
        <v>62</v>
      </c>
      <c r="O248" s="10">
        <f>Table1[[#This Row],[Precio unitario]]*Table1[[#This Row],[Cantidad]]</f>
        <v>39928</v>
      </c>
      <c r="P248" s="9">
        <v>4072.6559999999999</v>
      </c>
    </row>
    <row r="249" spans="1:16" x14ac:dyDescent="0.35">
      <c r="A249" s="7">
        <v>1287</v>
      </c>
      <c r="B249" s="12">
        <v>43383</v>
      </c>
      <c r="C249" s="7">
        <v>10</v>
      </c>
      <c r="D249" t="s">
        <v>45</v>
      </c>
      <c r="E249" t="s">
        <v>73</v>
      </c>
      <c r="F249" t="s">
        <v>85</v>
      </c>
      <c r="G249" t="s">
        <v>92</v>
      </c>
      <c r="H249" s="8">
        <v>43385</v>
      </c>
      <c r="I249" t="s">
        <v>22</v>
      </c>
      <c r="K249" t="s">
        <v>93</v>
      </c>
      <c r="L249" t="s">
        <v>48</v>
      </c>
      <c r="M249" s="9">
        <v>350</v>
      </c>
      <c r="N249">
        <v>60</v>
      </c>
      <c r="O249" s="10">
        <f>Table1[[#This Row],[Precio unitario]]*Table1[[#This Row],[Cantidad]]</f>
        <v>21000</v>
      </c>
      <c r="P249" s="9">
        <v>2163</v>
      </c>
    </row>
    <row r="250" spans="1:16" x14ac:dyDescent="0.35">
      <c r="A250" s="7">
        <v>1288</v>
      </c>
      <c r="B250" s="12">
        <v>43383</v>
      </c>
      <c r="C250" s="7">
        <v>10</v>
      </c>
      <c r="D250" t="s">
        <v>45</v>
      </c>
      <c r="E250" t="s">
        <v>73</v>
      </c>
      <c r="F250" t="s">
        <v>85</v>
      </c>
      <c r="G250" t="s">
        <v>30</v>
      </c>
      <c r="H250" s="8">
        <v>43385</v>
      </c>
      <c r="I250" t="s">
        <v>22</v>
      </c>
      <c r="K250" t="s">
        <v>49</v>
      </c>
      <c r="L250" t="s">
        <v>49</v>
      </c>
      <c r="M250" s="9">
        <v>308</v>
      </c>
      <c r="N250">
        <v>51</v>
      </c>
      <c r="O250" s="10">
        <f>Table1[[#This Row],[Precio unitario]]*Table1[[#This Row],[Cantidad]]</f>
        <v>15708</v>
      </c>
      <c r="P250" s="9">
        <v>1539.384</v>
      </c>
    </row>
    <row r="251" spans="1:16" x14ac:dyDescent="0.35">
      <c r="A251" s="7">
        <v>1289</v>
      </c>
      <c r="B251" s="12">
        <v>43383</v>
      </c>
      <c r="C251" s="7">
        <v>10</v>
      </c>
      <c r="D251" t="s">
        <v>45</v>
      </c>
      <c r="E251" t="s">
        <v>73</v>
      </c>
      <c r="F251" t="s">
        <v>85</v>
      </c>
      <c r="G251" t="s">
        <v>90</v>
      </c>
      <c r="H251" s="8">
        <v>43385</v>
      </c>
      <c r="I251" t="s">
        <v>22</v>
      </c>
      <c r="K251" t="s">
        <v>32</v>
      </c>
      <c r="L251" t="s">
        <v>33</v>
      </c>
      <c r="M251" s="9">
        <v>128.79999999999998</v>
      </c>
      <c r="N251">
        <v>49</v>
      </c>
      <c r="O251" s="10">
        <f>Table1[[#This Row],[Precio unitario]]*Table1[[#This Row],[Cantidad]]</f>
        <v>6311.1999999999989</v>
      </c>
      <c r="P251" s="9">
        <v>624.80880000000002</v>
      </c>
    </row>
    <row r="252" spans="1:16" x14ac:dyDescent="0.35">
      <c r="A252" s="7">
        <v>1290</v>
      </c>
      <c r="B252" s="12">
        <v>43384</v>
      </c>
      <c r="C252" s="7">
        <v>11</v>
      </c>
      <c r="D252" t="s">
        <v>50</v>
      </c>
      <c r="E252" t="s">
        <v>71</v>
      </c>
      <c r="F252" t="s">
        <v>82</v>
      </c>
      <c r="G252" t="s">
        <v>91</v>
      </c>
      <c r="H252" s="8"/>
      <c r="I252" t="s">
        <v>31</v>
      </c>
      <c r="K252" t="s">
        <v>19</v>
      </c>
      <c r="L252" t="s">
        <v>20</v>
      </c>
      <c r="M252" s="9">
        <v>49</v>
      </c>
      <c r="N252">
        <v>20</v>
      </c>
      <c r="O252" s="10">
        <f>Table1[[#This Row],[Precio unitario]]*Table1[[#This Row],[Cantidad]]</f>
        <v>980</v>
      </c>
      <c r="P252" s="9">
        <v>97.02</v>
      </c>
    </row>
    <row r="253" spans="1:16" x14ac:dyDescent="0.35">
      <c r="A253" s="7">
        <v>1291</v>
      </c>
      <c r="B253" s="12">
        <v>43384</v>
      </c>
      <c r="C253" s="7">
        <v>11</v>
      </c>
      <c r="D253" t="s">
        <v>50</v>
      </c>
      <c r="E253" t="s">
        <v>71</v>
      </c>
      <c r="F253" t="s">
        <v>82</v>
      </c>
      <c r="G253" t="s">
        <v>92</v>
      </c>
      <c r="H253" s="8"/>
      <c r="I253" t="s">
        <v>31</v>
      </c>
      <c r="K253" t="s">
        <v>46</v>
      </c>
      <c r="L253" t="s">
        <v>18</v>
      </c>
      <c r="M253" s="9">
        <v>41.86</v>
      </c>
      <c r="N253">
        <v>49</v>
      </c>
      <c r="O253" s="10">
        <f>Table1[[#This Row],[Precio unitario]]*Table1[[#This Row],[Cantidad]]</f>
        <v>2051.14</v>
      </c>
      <c r="P253" s="9">
        <v>205.11400000000003</v>
      </c>
    </row>
    <row r="254" spans="1:16" x14ac:dyDescent="0.35">
      <c r="A254" s="7">
        <v>1292</v>
      </c>
      <c r="B254" s="12">
        <v>43374</v>
      </c>
      <c r="C254" s="7">
        <v>1</v>
      </c>
      <c r="D254" t="s">
        <v>51</v>
      </c>
      <c r="E254" t="s">
        <v>80</v>
      </c>
      <c r="F254" t="s">
        <v>88</v>
      </c>
      <c r="G254" t="s">
        <v>30</v>
      </c>
      <c r="H254" s="8"/>
      <c r="K254" t="s">
        <v>27</v>
      </c>
      <c r="L254" t="s">
        <v>18</v>
      </c>
      <c r="M254" s="9">
        <v>252</v>
      </c>
      <c r="N254">
        <v>22</v>
      </c>
      <c r="O254" s="10">
        <f>Table1[[#This Row],[Precio unitario]]*Table1[[#This Row],[Cantidad]]</f>
        <v>5544</v>
      </c>
      <c r="P254" s="9">
        <v>532.22399999999993</v>
      </c>
    </row>
    <row r="255" spans="1:16" x14ac:dyDescent="0.35">
      <c r="A255" s="7">
        <v>1293</v>
      </c>
      <c r="B255" s="12">
        <v>43374</v>
      </c>
      <c r="C255" s="7">
        <v>1</v>
      </c>
      <c r="D255" t="s">
        <v>51</v>
      </c>
      <c r="E255" t="s">
        <v>80</v>
      </c>
      <c r="F255" t="s">
        <v>88</v>
      </c>
      <c r="G255" t="s">
        <v>90</v>
      </c>
      <c r="H255" s="8"/>
      <c r="K255" t="s">
        <v>28</v>
      </c>
      <c r="L255" t="s">
        <v>18</v>
      </c>
      <c r="M255" s="9">
        <v>644</v>
      </c>
      <c r="N255">
        <v>73</v>
      </c>
      <c r="O255" s="10">
        <f>Table1[[#This Row],[Precio unitario]]*Table1[[#This Row],[Cantidad]]</f>
        <v>47012</v>
      </c>
      <c r="P255" s="9">
        <v>4748.2120000000004</v>
      </c>
    </row>
    <row r="256" spans="1:16" x14ac:dyDescent="0.35">
      <c r="A256" s="7">
        <v>1294</v>
      </c>
      <c r="B256" s="12">
        <v>43374</v>
      </c>
      <c r="C256" s="7">
        <v>1</v>
      </c>
      <c r="D256" t="s">
        <v>51</v>
      </c>
      <c r="E256" t="s">
        <v>80</v>
      </c>
      <c r="F256" t="s">
        <v>88</v>
      </c>
      <c r="G256" t="s">
        <v>91</v>
      </c>
      <c r="H256" s="8"/>
      <c r="K256" t="s">
        <v>46</v>
      </c>
      <c r="L256" t="s">
        <v>18</v>
      </c>
      <c r="M256" s="9">
        <v>41.86</v>
      </c>
      <c r="N256">
        <v>85</v>
      </c>
      <c r="O256" s="10">
        <f>Table1[[#This Row],[Precio unitario]]*Table1[[#This Row],[Cantidad]]</f>
        <v>3558.1</v>
      </c>
      <c r="P256" s="9">
        <v>345.13570000000004</v>
      </c>
    </row>
    <row r="257" spans="1:16" x14ac:dyDescent="0.35">
      <c r="A257" s="7">
        <v>1295</v>
      </c>
      <c r="B257" s="12">
        <v>43401</v>
      </c>
      <c r="C257" s="7">
        <v>28</v>
      </c>
      <c r="D257" t="s">
        <v>44</v>
      </c>
      <c r="E257" t="s">
        <v>79</v>
      </c>
      <c r="F257" t="s">
        <v>82</v>
      </c>
      <c r="G257" t="s">
        <v>92</v>
      </c>
      <c r="H257" s="8">
        <v>43403</v>
      </c>
      <c r="I257" t="s">
        <v>31</v>
      </c>
      <c r="J257" t="s">
        <v>23</v>
      </c>
      <c r="K257" t="s">
        <v>39</v>
      </c>
      <c r="L257" t="s">
        <v>40</v>
      </c>
      <c r="M257" s="9">
        <v>135.1</v>
      </c>
      <c r="N257">
        <v>44</v>
      </c>
      <c r="O257" s="10">
        <f>Table1[[#This Row],[Precio unitario]]*Table1[[#This Row],[Cantidad]]</f>
        <v>5944.4</v>
      </c>
      <c r="P257" s="9">
        <v>618.21760000000006</v>
      </c>
    </row>
    <row r="258" spans="1:16" x14ac:dyDescent="0.35">
      <c r="A258" s="7">
        <v>1296</v>
      </c>
      <c r="B258" s="12">
        <v>43401</v>
      </c>
      <c r="C258" s="7">
        <v>28</v>
      </c>
      <c r="D258" t="s">
        <v>44</v>
      </c>
      <c r="E258" t="s">
        <v>79</v>
      </c>
      <c r="F258" t="s">
        <v>82</v>
      </c>
      <c r="G258" t="s">
        <v>30</v>
      </c>
      <c r="H258" s="8">
        <v>43403</v>
      </c>
      <c r="I258" t="s">
        <v>31</v>
      </c>
      <c r="J258" t="s">
        <v>23</v>
      </c>
      <c r="K258" t="s">
        <v>52</v>
      </c>
      <c r="L258" t="s">
        <v>97</v>
      </c>
      <c r="M258" s="9">
        <v>257.59999999999997</v>
      </c>
      <c r="N258">
        <v>24</v>
      </c>
      <c r="O258" s="10">
        <f>Table1[[#This Row],[Precio unitario]]*Table1[[#This Row],[Cantidad]]</f>
        <v>6182.4</v>
      </c>
      <c r="P258" s="9">
        <v>599.69279999999992</v>
      </c>
    </row>
    <row r="259" spans="1:16" x14ac:dyDescent="0.35">
      <c r="A259" s="7">
        <v>1297</v>
      </c>
      <c r="B259" s="12">
        <v>43382</v>
      </c>
      <c r="C259" s="7">
        <v>9</v>
      </c>
      <c r="D259" t="s">
        <v>53</v>
      </c>
      <c r="E259" t="s">
        <v>72</v>
      </c>
      <c r="F259" t="s">
        <v>89</v>
      </c>
      <c r="G259" t="s">
        <v>90</v>
      </c>
      <c r="H259" s="8">
        <v>43384</v>
      </c>
      <c r="I259" t="s">
        <v>22</v>
      </c>
      <c r="J259" t="s">
        <v>16</v>
      </c>
      <c r="K259" t="s">
        <v>54</v>
      </c>
      <c r="L259" t="s">
        <v>55</v>
      </c>
      <c r="M259" s="9">
        <v>273</v>
      </c>
      <c r="N259">
        <v>64</v>
      </c>
      <c r="O259" s="10">
        <f>Table1[[#This Row],[Precio unitario]]*Table1[[#This Row],[Cantidad]]</f>
        <v>17472</v>
      </c>
      <c r="P259" s="9">
        <v>1677.3120000000001</v>
      </c>
    </row>
    <row r="260" spans="1:16" x14ac:dyDescent="0.35">
      <c r="A260" s="7">
        <v>1298</v>
      </c>
      <c r="B260" s="12">
        <v>43382</v>
      </c>
      <c r="C260" s="7">
        <v>9</v>
      </c>
      <c r="D260" t="s">
        <v>53</v>
      </c>
      <c r="E260" t="s">
        <v>72</v>
      </c>
      <c r="F260" t="s">
        <v>89</v>
      </c>
      <c r="G260" t="s">
        <v>91</v>
      </c>
      <c r="H260" s="8">
        <v>43384</v>
      </c>
      <c r="I260" t="s">
        <v>22</v>
      </c>
      <c r="J260" t="s">
        <v>16</v>
      </c>
      <c r="K260" t="s">
        <v>56</v>
      </c>
      <c r="L260" t="s">
        <v>57</v>
      </c>
      <c r="M260" s="9">
        <v>487.19999999999993</v>
      </c>
      <c r="N260">
        <v>70</v>
      </c>
      <c r="O260" s="10">
        <f>Table1[[#This Row],[Precio unitario]]*Table1[[#This Row],[Cantidad]]</f>
        <v>34103.999999999993</v>
      </c>
      <c r="P260" s="9">
        <v>3444.5040000000004</v>
      </c>
    </row>
    <row r="261" spans="1:16" x14ac:dyDescent="0.35">
      <c r="A261" s="7">
        <v>1299</v>
      </c>
      <c r="B261" s="12">
        <v>43379</v>
      </c>
      <c r="C261" s="7">
        <v>6</v>
      </c>
      <c r="D261" t="s">
        <v>41</v>
      </c>
      <c r="E261" t="s">
        <v>78</v>
      </c>
      <c r="F261" t="s">
        <v>86</v>
      </c>
      <c r="G261" t="s">
        <v>92</v>
      </c>
      <c r="H261" s="8">
        <v>43381</v>
      </c>
      <c r="I261" t="s">
        <v>15</v>
      </c>
      <c r="J261" t="s">
        <v>23</v>
      </c>
      <c r="K261" t="s">
        <v>17</v>
      </c>
      <c r="L261" t="s">
        <v>18</v>
      </c>
      <c r="M261" s="9">
        <v>196</v>
      </c>
      <c r="N261">
        <v>98</v>
      </c>
      <c r="O261" s="10">
        <f>Table1[[#This Row],[Precio unitario]]*Table1[[#This Row],[Cantidad]]</f>
        <v>19208</v>
      </c>
      <c r="P261" s="9">
        <v>1940.0080000000005</v>
      </c>
    </row>
    <row r="262" spans="1:16" x14ac:dyDescent="0.35">
      <c r="A262" s="7">
        <v>1300</v>
      </c>
      <c r="B262" s="12">
        <v>43381</v>
      </c>
      <c r="C262" s="7">
        <v>8</v>
      </c>
      <c r="D262" t="s">
        <v>29</v>
      </c>
      <c r="E262" t="s">
        <v>75</v>
      </c>
      <c r="F262" t="s">
        <v>88</v>
      </c>
      <c r="G262" t="s">
        <v>30</v>
      </c>
      <c r="H262" s="8">
        <v>43383</v>
      </c>
      <c r="I262" t="s">
        <v>15</v>
      </c>
      <c r="J262" t="s">
        <v>16</v>
      </c>
      <c r="K262" t="s">
        <v>42</v>
      </c>
      <c r="L262" t="s">
        <v>43</v>
      </c>
      <c r="M262" s="9">
        <v>560</v>
      </c>
      <c r="N262">
        <v>48</v>
      </c>
      <c r="O262" s="10">
        <f>Table1[[#This Row],[Precio unitario]]*Table1[[#This Row],[Cantidad]]</f>
        <v>26880</v>
      </c>
      <c r="P262" s="9">
        <v>2634.24</v>
      </c>
    </row>
    <row r="263" spans="1:16" x14ac:dyDescent="0.35">
      <c r="A263" s="7">
        <v>1301</v>
      </c>
      <c r="B263" s="12">
        <v>43381</v>
      </c>
      <c r="C263" s="7">
        <v>8</v>
      </c>
      <c r="D263" t="s">
        <v>29</v>
      </c>
      <c r="E263" t="s">
        <v>75</v>
      </c>
      <c r="F263" t="s">
        <v>88</v>
      </c>
      <c r="G263" t="s">
        <v>90</v>
      </c>
      <c r="H263" s="8">
        <v>43383</v>
      </c>
      <c r="I263" t="s">
        <v>15</v>
      </c>
      <c r="J263" t="s">
        <v>16</v>
      </c>
      <c r="K263" t="s">
        <v>32</v>
      </c>
      <c r="L263" t="s">
        <v>33</v>
      </c>
      <c r="M263" s="9">
        <v>128.79999999999998</v>
      </c>
      <c r="N263">
        <v>100</v>
      </c>
      <c r="O263" s="10">
        <f>Table1[[#This Row],[Precio unitario]]*Table1[[#This Row],[Cantidad]]</f>
        <v>12879.999999999998</v>
      </c>
      <c r="P263" s="9">
        <v>1275.1199999999999</v>
      </c>
    </row>
    <row r="264" spans="1:16" x14ac:dyDescent="0.35">
      <c r="A264" s="7">
        <v>1302</v>
      </c>
      <c r="B264" s="12">
        <v>43398</v>
      </c>
      <c r="C264" s="7">
        <v>25</v>
      </c>
      <c r="D264" t="s">
        <v>59</v>
      </c>
      <c r="E264" t="s">
        <v>73</v>
      </c>
      <c r="F264" t="s">
        <v>85</v>
      </c>
      <c r="G264" t="s">
        <v>91</v>
      </c>
      <c r="H264" s="8">
        <v>43400</v>
      </c>
      <c r="I264" t="s">
        <v>22</v>
      </c>
      <c r="J264" t="s">
        <v>38</v>
      </c>
      <c r="K264" t="s">
        <v>94</v>
      </c>
      <c r="L264" t="s">
        <v>33</v>
      </c>
      <c r="M264" s="9">
        <v>140</v>
      </c>
      <c r="N264">
        <v>90</v>
      </c>
      <c r="O264" s="10">
        <f>Table1[[#This Row],[Precio unitario]]*Table1[[#This Row],[Cantidad]]</f>
        <v>12600</v>
      </c>
      <c r="P264" s="9">
        <v>1222.2</v>
      </c>
    </row>
    <row r="265" spans="1:16" x14ac:dyDescent="0.35">
      <c r="A265" s="7">
        <v>1303</v>
      </c>
      <c r="B265" s="12">
        <v>43399</v>
      </c>
      <c r="C265" s="7">
        <v>26</v>
      </c>
      <c r="D265" t="s">
        <v>60</v>
      </c>
      <c r="E265" t="s">
        <v>71</v>
      </c>
      <c r="F265" t="s">
        <v>82</v>
      </c>
      <c r="G265" t="s">
        <v>92</v>
      </c>
      <c r="H265" s="8">
        <v>43401</v>
      </c>
      <c r="I265" t="s">
        <v>31</v>
      </c>
      <c r="J265" t="s">
        <v>23</v>
      </c>
      <c r="K265" t="s">
        <v>64</v>
      </c>
      <c r="L265" t="s">
        <v>65</v>
      </c>
      <c r="M265" s="9">
        <v>298.90000000000003</v>
      </c>
      <c r="N265">
        <v>49</v>
      </c>
      <c r="O265" s="10">
        <f>Table1[[#This Row],[Precio unitario]]*Table1[[#This Row],[Cantidad]]</f>
        <v>14646.100000000002</v>
      </c>
      <c r="P265" s="9">
        <v>1435.3178</v>
      </c>
    </row>
    <row r="266" spans="1:16" x14ac:dyDescent="0.35">
      <c r="A266" s="7">
        <v>1304</v>
      </c>
      <c r="B266" s="12">
        <v>43399</v>
      </c>
      <c r="C266" s="7">
        <v>26</v>
      </c>
      <c r="D266" t="s">
        <v>60</v>
      </c>
      <c r="E266" t="s">
        <v>71</v>
      </c>
      <c r="F266" t="s">
        <v>82</v>
      </c>
      <c r="G266" t="s">
        <v>30</v>
      </c>
      <c r="H266" s="8">
        <v>43401</v>
      </c>
      <c r="I266" t="s">
        <v>31</v>
      </c>
      <c r="J266" t="s">
        <v>23</v>
      </c>
      <c r="K266" t="s">
        <v>39</v>
      </c>
      <c r="L266" t="s">
        <v>40</v>
      </c>
      <c r="M266" s="9">
        <v>135.1</v>
      </c>
      <c r="N266">
        <v>71</v>
      </c>
      <c r="O266" s="10">
        <f>Table1[[#This Row],[Precio unitario]]*Table1[[#This Row],[Cantidad]]</f>
        <v>9592.1</v>
      </c>
      <c r="P266" s="9">
        <v>920.84159999999997</v>
      </c>
    </row>
    <row r="267" spans="1:16" x14ac:dyDescent="0.35">
      <c r="A267" s="7">
        <v>1305</v>
      </c>
      <c r="B267" s="12">
        <v>43399</v>
      </c>
      <c r="C267" s="7">
        <v>26</v>
      </c>
      <c r="D267" t="s">
        <v>60</v>
      </c>
      <c r="E267" t="s">
        <v>71</v>
      </c>
      <c r="F267" t="s">
        <v>82</v>
      </c>
      <c r="G267" t="s">
        <v>90</v>
      </c>
      <c r="H267" s="8">
        <v>43401</v>
      </c>
      <c r="I267" t="s">
        <v>31</v>
      </c>
      <c r="J267" t="s">
        <v>23</v>
      </c>
      <c r="K267" t="s">
        <v>52</v>
      </c>
      <c r="L267" t="s">
        <v>97</v>
      </c>
      <c r="M267" s="9">
        <v>257.59999999999997</v>
      </c>
      <c r="N267">
        <v>10</v>
      </c>
      <c r="O267" s="10">
        <f>Table1[[#This Row],[Precio unitario]]*Table1[[#This Row],[Cantidad]]</f>
        <v>2575.9999999999995</v>
      </c>
      <c r="P267" s="9">
        <v>267.90400000000005</v>
      </c>
    </row>
    <row r="268" spans="1:16" x14ac:dyDescent="0.35">
      <c r="A268" s="7">
        <v>1306</v>
      </c>
      <c r="B268" s="12">
        <v>43402</v>
      </c>
      <c r="C268" s="7">
        <v>29</v>
      </c>
      <c r="D268" t="s">
        <v>34</v>
      </c>
      <c r="E268" t="s">
        <v>76</v>
      </c>
      <c r="F268" t="s">
        <v>84</v>
      </c>
      <c r="G268" t="s">
        <v>91</v>
      </c>
      <c r="H268" s="8">
        <v>43404</v>
      </c>
      <c r="I268" t="s">
        <v>15</v>
      </c>
      <c r="J268" t="s">
        <v>16</v>
      </c>
      <c r="K268" t="s">
        <v>17</v>
      </c>
      <c r="L268" t="s">
        <v>18</v>
      </c>
      <c r="M268" s="9">
        <v>196</v>
      </c>
      <c r="N268">
        <v>78</v>
      </c>
      <c r="O268" s="10">
        <f>Table1[[#This Row],[Precio unitario]]*Table1[[#This Row],[Cantidad]]</f>
        <v>15288</v>
      </c>
      <c r="P268" s="9">
        <v>1574.664</v>
      </c>
    </row>
    <row r="269" spans="1:16" x14ac:dyDescent="0.35">
      <c r="A269" s="7">
        <v>1307</v>
      </c>
      <c r="B269" s="12">
        <v>43379</v>
      </c>
      <c r="C269" s="7">
        <v>6</v>
      </c>
      <c r="D269" t="s">
        <v>41</v>
      </c>
      <c r="E269" t="s">
        <v>78</v>
      </c>
      <c r="F269" t="s">
        <v>86</v>
      </c>
      <c r="G269" t="s">
        <v>92</v>
      </c>
      <c r="H269" s="8">
        <v>43381</v>
      </c>
      <c r="I269" t="s">
        <v>31</v>
      </c>
      <c r="J269" t="s">
        <v>16</v>
      </c>
      <c r="K269" t="s">
        <v>35</v>
      </c>
      <c r="L269" t="s">
        <v>36</v>
      </c>
      <c r="M269" s="9">
        <v>178.5</v>
      </c>
      <c r="N269">
        <v>44</v>
      </c>
      <c r="O269" s="10">
        <f>Table1[[#This Row],[Precio unitario]]*Table1[[#This Row],[Cantidad]]</f>
        <v>7854</v>
      </c>
      <c r="P269" s="9">
        <v>753.98400000000004</v>
      </c>
    </row>
    <row r="270" spans="1:16" x14ac:dyDescent="0.35">
      <c r="A270" s="7">
        <v>1309</v>
      </c>
      <c r="B270" s="12">
        <v>43377</v>
      </c>
      <c r="C270" s="7">
        <v>4</v>
      </c>
      <c r="D270" t="s">
        <v>21</v>
      </c>
      <c r="E270" t="s">
        <v>77</v>
      </c>
      <c r="F270" t="s">
        <v>83</v>
      </c>
      <c r="G270" t="s">
        <v>30</v>
      </c>
      <c r="H270" s="8">
        <v>43379</v>
      </c>
      <c r="I270" t="s">
        <v>22</v>
      </c>
      <c r="J270" t="s">
        <v>23</v>
      </c>
      <c r="K270" t="s">
        <v>66</v>
      </c>
      <c r="L270" t="s">
        <v>48</v>
      </c>
      <c r="M270" s="9">
        <v>1134</v>
      </c>
      <c r="N270">
        <v>82</v>
      </c>
      <c r="O270" s="10">
        <f>Table1[[#This Row],[Precio unitario]]*Table1[[#This Row],[Cantidad]]</f>
        <v>92988</v>
      </c>
      <c r="P270" s="9">
        <v>9763.7400000000016</v>
      </c>
    </row>
    <row r="271" spans="1:16" x14ac:dyDescent="0.35">
      <c r="A271" s="7">
        <v>1310</v>
      </c>
      <c r="B271" s="12">
        <v>43377</v>
      </c>
      <c r="C271" s="7">
        <v>4</v>
      </c>
      <c r="D271" t="s">
        <v>21</v>
      </c>
      <c r="E271" t="s">
        <v>77</v>
      </c>
      <c r="F271" t="s">
        <v>83</v>
      </c>
      <c r="G271" t="s">
        <v>90</v>
      </c>
      <c r="H271" s="8">
        <v>43379</v>
      </c>
      <c r="I271" t="s">
        <v>22</v>
      </c>
      <c r="J271" t="s">
        <v>23</v>
      </c>
      <c r="K271" t="s">
        <v>67</v>
      </c>
      <c r="L271" t="s">
        <v>98</v>
      </c>
      <c r="M271" s="9">
        <v>98</v>
      </c>
      <c r="N271">
        <v>29</v>
      </c>
      <c r="O271" s="10">
        <f>Table1[[#This Row],[Precio unitario]]*Table1[[#This Row],[Cantidad]]</f>
        <v>2842</v>
      </c>
      <c r="P271" s="9">
        <v>284.2</v>
      </c>
    </row>
    <row r="272" spans="1:16" x14ac:dyDescent="0.35">
      <c r="A272" s="7">
        <v>1312</v>
      </c>
      <c r="B272" s="12">
        <v>43381</v>
      </c>
      <c r="C272" s="7">
        <v>8</v>
      </c>
      <c r="D272" t="s">
        <v>29</v>
      </c>
      <c r="E272" t="s">
        <v>75</v>
      </c>
      <c r="F272" t="s">
        <v>88</v>
      </c>
      <c r="G272" t="s">
        <v>91</v>
      </c>
      <c r="H272" s="8">
        <v>43383</v>
      </c>
      <c r="I272" t="s">
        <v>31</v>
      </c>
      <c r="J272" t="s">
        <v>23</v>
      </c>
      <c r="K272" t="s">
        <v>56</v>
      </c>
      <c r="L272" t="s">
        <v>57</v>
      </c>
      <c r="M272" s="9">
        <v>487.19999999999993</v>
      </c>
      <c r="N272">
        <v>93</v>
      </c>
      <c r="O272" s="10">
        <f>Table1[[#This Row],[Precio unitario]]*Table1[[#This Row],[Cantidad]]</f>
        <v>45309.599999999991</v>
      </c>
      <c r="P272" s="9">
        <v>4395.0311999999994</v>
      </c>
    </row>
    <row r="273" spans="1:16" x14ac:dyDescent="0.35">
      <c r="A273" s="7">
        <v>1315</v>
      </c>
      <c r="B273" s="12">
        <v>43376</v>
      </c>
      <c r="C273" s="7">
        <v>3</v>
      </c>
      <c r="D273" t="s">
        <v>37</v>
      </c>
      <c r="E273" t="s">
        <v>69</v>
      </c>
      <c r="F273" t="s">
        <v>87</v>
      </c>
      <c r="G273" t="s">
        <v>92</v>
      </c>
      <c r="H273" s="8">
        <v>43378</v>
      </c>
      <c r="I273" t="s">
        <v>15</v>
      </c>
      <c r="J273" t="s">
        <v>38</v>
      </c>
      <c r="K273" t="s">
        <v>95</v>
      </c>
      <c r="L273" t="s">
        <v>49</v>
      </c>
      <c r="M273" s="9">
        <v>140</v>
      </c>
      <c r="N273">
        <v>11</v>
      </c>
      <c r="O273" s="10">
        <f>Table1[[#This Row],[Precio unitario]]*Table1[[#This Row],[Cantidad]]</f>
        <v>1540</v>
      </c>
      <c r="P273" s="9">
        <v>160.16000000000003</v>
      </c>
    </row>
    <row r="274" spans="1:16" x14ac:dyDescent="0.35">
      <c r="A274" s="7">
        <v>1316</v>
      </c>
      <c r="B274" s="12">
        <v>43376</v>
      </c>
      <c r="C274" s="7">
        <v>3</v>
      </c>
      <c r="D274" t="s">
        <v>37</v>
      </c>
      <c r="E274" t="s">
        <v>69</v>
      </c>
      <c r="F274" t="s">
        <v>87</v>
      </c>
      <c r="G274" t="s">
        <v>30</v>
      </c>
      <c r="H274" s="8">
        <v>43378</v>
      </c>
      <c r="I274" t="s">
        <v>15</v>
      </c>
      <c r="J274" t="s">
        <v>38</v>
      </c>
      <c r="K274" t="s">
        <v>42</v>
      </c>
      <c r="L274" t="s">
        <v>43</v>
      </c>
      <c r="M274" s="9">
        <v>560</v>
      </c>
      <c r="N274">
        <v>91</v>
      </c>
      <c r="O274" s="10">
        <f>Table1[[#This Row],[Precio unitario]]*Table1[[#This Row],[Cantidad]]</f>
        <v>50960</v>
      </c>
      <c r="P274" s="9">
        <v>5096</v>
      </c>
    </row>
    <row r="275" spans="1:16" x14ac:dyDescent="0.35">
      <c r="A275" s="7">
        <v>1320</v>
      </c>
      <c r="B275" s="12">
        <v>43383</v>
      </c>
      <c r="C275" s="7">
        <v>10</v>
      </c>
      <c r="D275" t="s">
        <v>45</v>
      </c>
      <c r="E275" t="s">
        <v>73</v>
      </c>
      <c r="F275" t="s">
        <v>85</v>
      </c>
      <c r="G275" t="s">
        <v>90</v>
      </c>
      <c r="H275" s="8">
        <v>43385</v>
      </c>
      <c r="I275" t="s">
        <v>15</v>
      </c>
      <c r="J275" t="s">
        <v>23</v>
      </c>
      <c r="K275" t="s">
        <v>58</v>
      </c>
      <c r="L275" t="s">
        <v>20</v>
      </c>
      <c r="M275" s="9">
        <v>140</v>
      </c>
      <c r="N275">
        <v>12</v>
      </c>
      <c r="O275" s="10">
        <f>Table1[[#This Row],[Precio unitario]]*Table1[[#This Row],[Cantidad]]</f>
        <v>1680</v>
      </c>
      <c r="P275" s="9">
        <v>173.04</v>
      </c>
    </row>
    <row r="276" spans="1:16" x14ac:dyDescent="0.35">
      <c r="A276" s="7">
        <v>1322</v>
      </c>
      <c r="B276" s="12">
        <v>43383</v>
      </c>
      <c r="C276" s="7">
        <v>10</v>
      </c>
      <c r="D276" t="s">
        <v>45</v>
      </c>
      <c r="E276" t="s">
        <v>73</v>
      </c>
      <c r="F276" t="s">
        <v>85</v>
      </c>
      <c r="G276" t="s">
        <v>91</v>
      </c>
      <c r="H276" s="8"/>
      <c r="I276" t="s">
        <v>22</v>
      </c>
      <c r="K276" t="s">
        <v>19</v>
      </c>
      <c r="L276" t="s">
        <v>20</v>
      </c>
      <c r="M276" s="9">
        <v>49</v>
      </c>
      <c r="N276">
        <v>78</v>
      </c>
      <c r="O276" s="10">
        <f>Table1[[#This Row],[Precio unitario]]*Table1[[#This Row],[Cantidad]]</f>
        <v>3822</v>
      </c>
      <c r="P276" s="9">
        <v>382.2</v>
      </c>
    </row>
    <row r="277" spans="1:16" x14ac:dyDescent="0.35">
      <c r="A277" s="7">
        <v>1323</v>
      </c>
      <c r="B277" s="12">
        <v>43384</v>
      </c>
      <c r="C277" s="7">
        <v>11</v>
      </c>
      <c r="D277" t="s">
        <v>50</v>
      </c>
      <c r="E277" t="s">
        <v>71</v>
      </c>
      <c r="F277" t="s">
        <v>82</v>
      </c>
      <c r="G277" t="s">
        <v>92</v>
      </c>
      <c r="H277" s="8"/>
      <c r="I277" t="s">
        <v>31</v>
      </c>
      <c r="K277" t="s">
        <v>42</v>
      </c>
      <c r="L277" t="s">
        <v>43</v>
      </c>
      <c r="M277" s="9">
        <v>560</v>
      </c>
      <c r="N277">
        <v>60</v>
      </c>
      <c r="O277" s="10">
        <f>Table1[[#This Row],[Precio unitario]]*Table1[[#This Row],[Cantidad]]</f>
        <v>33600</v>
      </c>
      <c r="P277" s="9">
        <v>3192</v>
      </c>
    </row>
    <row r="278" spans="1:16" x14ac:dyDescent="0.35">
      <c r="A278" s="7">
        <v>1324</v>
      </c>
      <c r="B278" s="12">
        <v>43374</v>
      </c>
      <c r="C278" s="7">
        <v>1</v>
      </c>
      <c r="D278" t="s">
        <v>51</v>
      </c>
      <c r="E278" t="s">
        <v>80</v>
      </c>
      <c r="F278" t="s">
        <v>88</v>
      </c>
      <c r="G278" t="s">
        <v>30</v>
      </c>
      <c r="H278" s="8"/>
      <c r="I278" t="s">
        <v>31</v>
      </c>
      <c r="K278" t="s">
        <v>52</v>
      </c>
      <c r="L278" t="s">
        <v>97</v>
      </c>
      <c r="M278" s="9">
        <v>257.59999999999997</v>
      </c>
      <c r="N278">
        <v>23</v>
      </c>
      <c r="O278" s="10">
        <f>Table1[[#This Row],[Precio unitario]]*Table1[[#This Row],[Cantidad]]</f>
        <v>5924.7999999999993</v>
      </c>
      <c r="P278" s="9">
        <v>610.25440000000003</v>
      </c>
    </row>
    <row r="279" spans="1:16" x14ac:dyDescent="0.35">
      <c r="A279" s="7">
        <v>1325</v>
      </c>
      <c r="B279" s="12">
        <v>43401</v>
      </c>
      <c r="C279" s="7">
        <v>28</v>
      </c>
      <c r="D279" t="s">
        <v>44</v>
      </c>
      <c r="E279" t="s">
        <v>79</v>
      </c>
      <c r="F279" t="s">
        <v>82</v>
      </c>
      <c r="G279" t="s">
        <v>90</v>
      </c>
      <c r="H279" s="8">
        <v>43403</v>
      </c>
      <c r="I279" t="s">
        <v>31</v>
      </c>
      <c r="J279" t="s">
        <v>23</v>
      </c>
      <c r="K279" t="s">
        <v>28</v>
      </c>
      <c r="L279" t="s">
        <v>18</v>
      </c>
      <c r="M279" s="9">
        <v>644</v>
      </c>
      <c r="N279">
        <v>34</v>
      </c>
      <c r="O279" s="10">
        <f>Table1[[#This Row],[Precio unitario]]*Table1[[#This Row],[Cantidad]]</f>
        <v>21896</v>
      </c>
      <c r="P279" s="9">
        <v>2211.4960000000001</v>
      </c>
    </row>
    <row r="280" spans="1:16" x14ac:dyDescent="0.35">
      <c r="A280" s="7">
        <v>1326</v>
      </c>
      <c r="B280" s="12">
        <v>43382</v>
      </c>
      <c r="C280" s="7">
        <v>9</v>
      </c>
      <c r="D280" t="s">
        <v>53</v>
      </c>
      <c r="E280" t="s">
        <v>72</v>
      </c>
      <c r="F280" t="s">
        <v>89</v>
      </c>
      <c r="G280" t="s">
        <v>91</v>
      </c>
      <c r="H280" s="8">
        <v>43384</v>
      </c>
      <c r="I280" t="s">
        <v>22</v>
      </c>
      <c r="J280" t="s">
        <v>16</v>
      </c>
      <c r="K280" t="s">
        <v>39</v>
      </c>
      <c r="L280" t="s">
        <v>40</v>
      </c>
      <c r="M280" s="9">
        <v>135.1</v>
      </c>
      <c r="N280">
        <v>89</v>
      </c>
      <c r="O280" s="10">
        <f>Table1[[#This Row],[Precio unitario]]*Table1[[#This Row],[Cantidad]]</f>
        <v>12023.9</v>
      </c>
      <c r="P280" s="9">
        <v>1214.4139</v>
      </c>
    </row>
    <row r="281" spans="1:16" x14ac:dyDescent="0.35">
      <c r="A281" s="7">
        <v>1327</v>
      </c>
      <c r="B281" s="12">
        <v>43379</v>
      </c>
      <c r="C281" s="7">
        <v>6</v>
      </c>
      <c r="D281" t="s">
        <v>41</v>
      </c>
      <c r="E281" t="s">
        <v>78</v>
      </c>
      <c r="F281" t="s">
        <v>86</v>
      </c>
      <c r="G281" t="s">
        <v>92</v>
      </c>
      <c r="H281" s="8">
        <v>43381</v>
      </c>
      <c r="I281" t="s">
        <v>15</v>
      </c>
      <c r="J281" t="s">
        <v>23</v>
      </c>
      <c r="K281" t="s">
        <v>35</v>
      </c>
      <c r="L281" t="s">
        <v>36</v>
      </c>
      <c r="M281" s="9">
        <v>178.5</v>
      </c>
      <c r="N281">
        <v>82</v>
      </c>
      <c r="O281" s="10">
        <f>Table1[[#This Row],[Precio unitario]]*Table1[[#This Row],[Cantidad]]</f>
        <v>14637</v>
      </c>
      <c r="P281" s="9">
        <v>1449.0630000000001</v>
      </c>
    </row>
    <row r="282" spans="1:16" x14ac:dyDescent="0.35">
      <c r="A282" s="7">
        <v>1328</v>
      </c>
      <c r="B282" s="12">
        <v>43381</v>
      </c>
      <c r="C282" s="7">
        <v>8</v>
      </c>
      <c r="D282" t="s">
        <v>29</v>
      </c>
      <c r="E282" t="s">
        <v>75</v>
      </c>
      <c r="F282" t="s">
        <v>88</v>
      </c>
      <c r="G282" t="s">
        <v>30</v>
      </c>
      <c r="H282" s="8">
        <v>43383</v>
      </c>
      <c r="I282" t="s">
        <v>15</v>
      </c>
      <c r="J282" t="s">
        <v>16</v>
      </c>
      <c r="K282" t="s">
        <v>35</v>
      </c>
      <c r="L282" t="s">
        <v>36</v>
      </c>
      <c r="M282" s="9">
        <v>178.5</v>
      </c>
      <c r="N282">
        <v>43</v>
      </c>
      <c r="O282" s="10">
        <f>Table1[[#This Row],[Precio unitario]]*Table1[[#This Row],[Cantidad]]</f>
        <v>7675.5</v>
      </c>
      <c r="P282" s="9">
        <v>736.84799999999996</v>
      </c>
    </row>
    <row r="283" spans="1:16" x14ac:dyDescent="0.35">
      <c r="A283" s="7">
        <v>1329</v>
      </c>
      <c r="B283" s="12">
        <v>43414</v>
      </c>
      <c r="C283" s="7">
        <v>10</v>
      </c>
      <c r="D283" t="s">
        <v>45</v>
      </c>
      <c r="E283" t="s">
        <v>73</v>
      </c>
      <c r="F283" t="s">
        <v>85</v>
      </c>
      <c r="G283" t="s">
        <v>90</v>
      </c>
      <c r="H283" s="8">
        <v>43416</v>
      </c>
      <c r="I283" t="s">
        <v>22</v>
      </c>
      <c r="K283" t="s">
        <v>49</v>
      </c>
      <c r="L283" t="s">
        <v>49</v>
      </c>
      <c r="M283" s="9">
        <v>308</v>
      </c>
      <c r="N283">
        <v>96</v>
      </c>
      <c r="O283" s="10">
        <f>Table1[[#This Row],[Precio unitario]]*Table1[[#This Row],[Cantidad]]</f>
        <v>29568</v>
      </c>
      <c r="P283" s="9">
        <v>3104.6400000000003</v>
      </c>
    </row>
    <row r="284" spans="1:16" x14ac:dyDescent="0.35">
      <c r="A284" s="7">
        <v>1330</v>
      </c>
      <c r="B284" s="12">
        <v>43414</v>
      </c>
      <c r="C284" s="7">
        <v>10</v>
      </c>
      <c r="D284" t="s">
        <v>45</v>
      </c>
      <c r="E284" t="s">
        <v>73</v>
      </c>
      <c r="F284" t="s">
        <v>85</v>
      </c>
      <c r="G284" t="s">
        <v>91</v>
      </c>
      <c r="H284" s="8">
        <v>43416</v>
      </c>
      <c r="I284" t="s">
        <v>22</v>
      </c>
      <c r="K284" t="s">
        <v>32</v>
      </c>
      <c r="L284" t="s">
        <v>33</v>
      </c>
      <c r="M284" s="9">
        <v>128.79999999999998</v>
      </c>
      <c r="N284">
        <v>34</v>
      </c>
      <c r="O284" s="10">
        <f>Table1[[#This Row],[Precio unitario]]*Table1[[#This Row],[Cantidad]]</f>
        <v>4379.2</v>
      </c>
      <c r="P284" s="9">
        <v>437.91999999999996</v>
      </c>
    </row>
    <row r="285" spans="1:16" x14ac:dyDescent="0.35">
      <c r="A285" s="7">
        <v>1331</v>
      </c>
      <c r="B285" s="12">
        <v>43415</v>
      </c>
      <c r="C285" s="7">
        <v>11</v>
      </c>
      <c r="D285" t="s">
        <v>50</v>
      </c>
      <c r="E285" t="s">
        <v>71</v>
      </c>
      <c r="F285" t="s">
        <v>82</v>
      </c>
      <c r="G285" t="s">
        <v>92</v>
      </c>
      <c r="H285" s="8"/>
      <c r="I285" t="s">
        <v>31</v>
      </c>
      <c r="K285" t="s">
        <v>19</v>
      </c>
      <c r="L285" t="s">
        <v>20</v>
      </c>
      <c r="M285" s="9">
        <v>49</v>
      </c>
      <c r="N285">
        <v>42</v>
      </c>
      <c r="O285" s="10">
        <f>Table1[[#This Row],[Precio unitario]]*Table1[[#This Row],[Cantidad]]</f>
        <v>2058</v>
      </c>
      <c r="P285" s="9">
        <v>211.97400000000002</v>
      </c>
    </row>
    <row r="286" spans="1:16" x14ac:dyDescent="0.35">
      <c r="A286" s="7">
        <v>1332</v>
      </c>
      <c r="B286" s="12">
        <v>43415</v>
      </c>
      <c r="C286" s="7">
        <v>11</v>
      </c>
      <c r="D286" t="s">
        <v>50</v>
      </c>
      <c r="E286" t="s">
        <v>71</v>
      </c>
      <c r="F286" t="s">
        <v>82</v>
      </c>
      <c r="G286" t="s">
        <v>30</v>
      </c>
      <c r="H286" s="8"/>
      <c r="I286" t="s">
        <v>31</v>
      </c>
      <c r="K286" t="s">
        <v>46</v>
      </c>
      <c r="L286" t="s">
        <v>18</v>
      </c>
      <c r="M286" s="9">
        <v>41.86</v>
      </c>
      <c r="N286">
        <v>100</v>
      </c>
      <c r="O286" s="10">
        <f>Table1[[#This Row],[Precio unitario]]*Table1[[#This Row],[Cantidad]]</f>
        <v>4186</v>
      </c>
      <c r="P286" s="9">
        <v>426.97200000000004</v>
      </c>
    </row>
    <row r="287" spans="1:16" x14ac:dyDescent="0.35">
      <c r="A287" s="7">
        <v>1333</v>
      </c>
      <c r="B287" s="12">
        <v>43405</v>
      </c>
      <c r="C287" s="7">
        <v>1</v>
      </c>
      <c r="D287" t="s">
        <v>51</v>
      </c>
      <c r="E287" t="s">
        <v>80</v>
      </c>
      <c r="F287" t="s">
        <v>88</v>
      </c>
      <c r="G287" t="s">
        <v>90</v>
      </c>
      <c r="H287" s="8"/>
      <c r="K287" t="s">
        <v>27</v>
      </c>
      <c r="L287" t="s">
        <v>18</v>
      </c>
      <c r="M287" s="9">
        <v>252</v>
      </c>
      <c r="N287">
        <v>42</v>
      </c>
      <c r="O287" s="10">
        <f>Table1[[#This Row],[Precio unitario]]*Table1[[#This Row],[Cantidad]]</f>
        <v>10584</v>
      </c>
      <c r="P287" s="9">
        <v>1068.9840000000002</v>
      </c>
    </row>
    <row r="288" spans="1:16" x14ac:dyDescent="0.35">
      <c r="A288" s="7">
        <v>1334</v>
      </c>
      <c r="B288" s="12">
        <v>43405</v>
      </c>
      <c r="C288" s="7">
        <v>1</v>
      </c>
      <c r="D288" t="s">
        <v>51</v>
      </c>
      <c r="E288" t="s">
        <v>80</v>
      </c>
      <c r="F288" t="s">
        <v>88</v>
      </c>
      <c r="G288" t="s">
        <v>91</v>
      </c>
      <c r="H288" s="8"/>
      <c r="K288" t="s">
        <v>28</v>
      </c>
      <c r="L288" t="s">
        <v>18</v>
      </c>
      <c r="M288" s="9">
        <v>644</v>
      </c>
      <c r="N288">
        <v>16</v>
      </c>
      <c r="O288" s="10">
        <f>Table1[[#This Row],[Precio unitario]]*Table1[[#This Row],[Cantidad]]</f>
        <v>10304</v>
      </c>
      <c r="P288" s="9">
        <v>989.18400000000008</v>
      </c>
    </row>
    <row r="289" spans="1:16" x14ac:dyDescent="0.35">
      <c r="A289" s="7">
        <v>1335</v>
      </c>
      <c r="B289" s="12">
        <v>43405</v>
      </c>
      <c r="C289" s="7">
        <v>1</v>
      </c>
      <c r="D289" t="s">
        <v>51</v>
      </c>
      <c r="E289" t="s">
        <v>80</v>
      </c>
      <c r="F289" t="s">
        <v>88</v>
      </c>
      <c r="G289" t="s">
        <v>92</v>
      </c>
      <c r="H289" s="8"/>
      <c r="K289" t="s">
        <v>46</v>
      </c>
      <c r="L289" t="s">
        <v>18</v>
      </c>
      <c r="M289" s="9">
        <v>41.86</v>
      </c>
      <c r="N289">
        <v>22</v>
      </c>
      <c r="O289" s="10">
        <f>Table1[[#This Row],[Precio unitario]]*Table1[[#This Row],[Cantidad]]</f>
        <v>920.92</v>
      </c>
      <c r="P289" s="9">
        <v>89.329239999999999</v>
      </c>
    </row>
    <row r="290" spans="1:16" x14ac:dyDescent="0.35">
      <c r="A290" s="7">
        <v>1336</v>
      </c>
      <c r="B290" s="12">
        <v>43432</v>
      </c>
      <c r="C290" s="7">
        <v>28</v>
      </c>
      <c r="D290" t="s">
        <v>44</v>
      </c>
      <c r="E290" t="s">
        <v>79</v>
      </c>
      <c r="F290" t="s">
        <v>82</v>
      </c>
      <c r="G290" t="s">
        <v>30</v>
      </c>
      <c r="H290" s="8">
        <v>43434</v>
      </c>
      <c r="I290" t="s">
        <v>31</v>
      </c>
      <c r="J290" t="s">
        <v>23</v>
      </c>
      <c r="K290" t="s">
        <v>39</v>
      </c>
      <c r="L290" t="s">
        <v>40</v>
      </c>
      <c r="M290" s="9">
        <v>135.1</v>
      </c>
      <c r="N290">
        <v>46</v>
      </c>
      <c r="O290" s="10">
        <f>Table1[[#This Row],[Precio unitario]]*Table1[[#This Row],[Cantidad]]</f>
        <v>6214.5999999999995</v>
      </c>
      <c r="P290" s="9">
        <v>640.10380000000009</v>
      </c>
    </row>
    <row r="291" spans="1:16" x14ac:dyDescent="0.35">
      <c r="A291" s="7">
        <v>1337</v>
      </c>
      <c r="B291" s="12">
        <v>43432</v>
      </c>
      <c r="C291" s="7">
        <v>28</v>
      </c>
      <c r="D291" t="s">
        <v>44</v>
      </c>
      <c r="E291" t="s">
        <v>79</v>
      </c>
      <c r="F291" t="s">
        <v>82</v>
      </c>
      <c r="G291" t="s">
        <v>90</v>
      </c>
      <c r="H291" s="8">
        <v>43434</v>
      </c>
      <c r="I291" t="s">
        <v>31</v>
      </c>
      <c r="J291" t="s">
        <v>23</v>
      </c>
      <c r="K291" t="s">
        <v>52</v>
      </c>
      <c r="L291" t="s">
        <v>97</v>
      </c>
      <c r="M291" s="9">
        <v>257.59999999999997</v>
      </c>
      <c r="N291">
        <v>100</v>
      </c>
      <c r="O291" s="10">
        <f>Table1[[#This Row],[Precio unitario]]*Table1[[#This Row],[Cantidad]]</f>
        <v>25759.999999999996</v>
      </c>
      <c r="P291" s="9">
        <v>2576</v>
      </c>
    </row>
    <row r="292" spans="1:16" x14ac:dyDescent="0.35">
      <c r="A292" s="7">
        <v>1338</v>
      </c>
      <c r="B292" s="12">
        <v>43413</v>
      </c>
      <c r="C292" s="7">
        <v>9</v>
      </c>
      <c r="D292" t="s">
        <v>53</v>
      </c>
      <c r="E292" t="s">
        <v>72</v>
      </c>
      <c r="F292" t="s">
        <v>89</v>
      </c>
      <c r="G292" t="s">
        <v>91</v>
      </c>
      <c r="H292" s="8">
        <v>43415</v>
      </c>
      <c r="I292" t="s">
        <v>22</v>
      </c>
      <c r="J292" t="s">
        <v>16</v>
      </c>
      <c r="K292" t="s">
        <v>54</v>
      </c>
      <c r="L292" t="s">
        <v>55</v>
      </c>
      <c r="M292" s="9">
        <v>273</v>
      </c>
      <c r="N292">
        <v>87</v>
      </c>
      <c r="O292" s="10">
        <f>Table1[[#This Row],[Precio unitario]]*Table1[[#This Row],[Cantidad]]</f>
        <v>23751</v>
      </c>
      <c r="P292" s="9">
        <v>2446.3530000000001</v>
      </c>
    </row>
    <row r="293" spans="1:16" x14ac:dyDescent="0.35">
      <c r="A293" s="7">
        <v>1339</v>
      </c>
      <c r="B293" s="12">
        <v>43413</v>
      </c>
      <c r="C293" s="7">
        <v>9</v>
      </c>
      <c r="D293" t="s">
        <v>53</v>
      </c>
      <c r="E293" t="s">
        <v>72</v>
      </c>
      <c r="F293" t="s">
        <v>89</v>
      </c>
      <c r="G293" t="s">
        <v>92</v>
      </c>
      <c r="H293" s="8">
        <v>43415</v>
      </c>
      <c r="I293" t="s">
        <v>22</v>
      </c>
      <c r="J293" t="s">
        <v>16</v>
      </c>
      <c r="K293" t="s">
        <v>56</v>
      </c>
      <c r="L293" t="s">
        <v>57</v>
      </c>
      <c r="M293" s="9">
        <v>487.19999999999993</v>
      </c>
      <c r="N293">
        <v>58</v>
      </c>
      <c r="O293" s="10">
        <f>Table1[[#This Row],[Precio unitario]]*Table1[[#This Row],[Cantidad]]</f>
        <v>28257.599999999995</v>
      </c>
      <c r="P293" s="9">
        <v>2882.2752</v>
      </c>
    </row>
    <row r="294" spans="1:16" x14ac:dyDescent="0.35">
      <c r="A294" s="7">
        <v>1340</v>
      </c>
      <c r="B294" s="12">
        <v>43410</v>
      </c>
      <c r="C294" s="7">
        <v>6</v>
      </c>
      <c r="D294" t="s">
        <v>41</v>
      </c>
      <c r="E294" t="s">
        <v>78</v>
      </c>
      <c r="F294" t="s">
        <v>86</v>
      </c>
      <c r="G294" t="s">
        <v>30</v>
      </c>
      <c r="H294" s="8">
        <v>43412</v>
      </c>
      <c r="I294" t="s">
        <v>15</v>
      </c>
      <c r="J294" t="s">
        <v>23</v>
      </c>
      <c r="K294" t="s">
        <v>17</v>
      </c>
      <c r="L294" t="s">
        <v>18</v>
      </c>
      <c r="M294" s="9">
        <v>196</v>
      </c>
      <c r="N294">
        <v>85</v>
      </c>
      <c r="O294" s="10">
        <f>Table1[[#This Row],[Precio unitario]]*Table1[[#This Row],[Cantidad]]</f>
        <v>16660</v>
      </c>
      <c r="P294" s="9">
        <v>1682.6599999999999</v>
      </c>
    </row>
    <row r="295" spans="1:16" x14ac:dyDescent="0.35">
      <c r="A295" s="7">
        <v>1341</v>
      </c>
      <c r="B295" s="12">
        <v>43412</v>
      </c>
      <c r="C295" s="7">
        <v>8</v>
      </c>
      <c r="D295" t="s">
        <v>29</v>
      </c>
      <c r="E295" t="s">
        <v>75</v>
      </c>
      <c r="F295" t="s">
        <v>88</v>
      </c>
      <c r="G295" t="s">
        <v>90</v>
      </c>
      <c r="H295" s="8">
        <v>43414</v>
      </c>
      <c r="I295" t="s">
        <v>15</v>
      </c>
      <c r="J295" t="s">
        <v>16</v>
      </c>
      <c r="K295" t="s">
        <v>42</v>
      </c>
      <c r="L295" t="s">
        <v>43</v>
      </c>
      <c r="M295" s="9">
        <v>560</v>
      </c>
      <c r="N295">
        <v>28</v>
      </c>
      <c r="O295" s="10">
        <f>Table1[[#This Row],[Precio unitario]]*Table1[[#This Row],[Cantidad]]</f>
        <v>15680</v>
      </c>
      <c r="P295" s="9">
        <v>1552.32</v>
      </c>
    </row>
    <row r="296" spans="1:16" x14ac:dyDescent="0.35">
      <c r="A296" s="7">
        <v>1342</v>
      </c>
      <c r="B296" s="12">
        <v>43412</v>
      </c>
      <c r="C296" s="7">
        <v>8</v>
      </c>
      <c r="D296" t="s">
        <v>29</v>
      </c>
      <c r="E296" t="s">
        <v>75</v>
      </c>
      <c r="F296" t="s">
        <v>88</v>
      </c>
      <c r="G296" t="s">
        <v>91</v>
      </c>
      <c r="H296" s="8">
        <v>43414</v>
      </c>
      <c r="I296" t="s">
        <v>15</v>
      </c>
      <c r="J296" t="s">
        <v>16</v>
      </c>
      <c r="K296" t="s">
        <v>32</v>
      </c>
      <c r="L296" t="s">
        <v>33</v>
      </c>
      <c r="M296" s="9">
        <v>128.79999999999998</v>
      </c>
      <c r="N296">
        <v>19</v>
      </c>
      <c r="O296" s="10">
        <f>Table1[[#This Row],[Precio unitario]]*Table1[[#This Row],[Cantidad]]</f>
        <v>2447.1999999999998</v>
      </c>
      <c r="P296" s="9">
        <v>239.82560000000001</v>
      </c>
    </row>
    <row r="297" spans="1:16" x14ac:dyDescent="0.35">
      <c r="A297" s="7">
        <v>1343</v>
      </c>
      <c r="B297" s="12">
        <v>43429</v>
      </c>
      <c r="C297" s="7">
        <v>25</v>
      </c>
      <c r="D297" t="s">
        <v>59</v>
      </c>
      <c r="E297" t="s">
        <v>73</v>
      </c>
      <c r="F297" t="s">
        <v>85</v>
      </c>
      <c r="G297" t="s">
        <v>92</v>
      </c>
      <c r="H297" s="8">
        <v>43431</v>
      </c>
      <c r="I297" t="s">
        <v>22</v>
      </c>
      <c r="J297" t="s">
        <v>38</v>
      </c>
      <c r="K297" t="s">
        <v>94</v>
      </c>
      <c r="L297" t="s">
        <v>33</v>
      </c>
      <c r="M297" s="9">
        <v>140</v>
      </c>
      <c r="N297">
        <v>99</v>
      </c>
      <c r="O297" s="10">
        <f>Table1[[#This Row],[Precio unitario]]*Table1[[#This Row],[Cantidad]]</f>
        <v>13860</v>
      </c>
      <c r="P297" s="9">
        <v>1441.44</v>
      </c>
    </row>
    <row r="298" spans="1:16" x14ac:dyDescent="0.35">
      <c r="A298" s="7">
        <v>1344</v>
      </c>
      <c r="B298" s="12">
        <v>43430</v>
      </c>
      <c r="C298" s="7">
        <v>26</v>
      </c>
      <c r="D298" t="s">
        <v>60</v>
      </c>
      <c r="E298" t="s">
        <v>71</v>
      </c>
      <c r="F298" t="s">
        <v>82</v>
      </c>
      <c r="G298" t="s">
        <v>30</v>
      </c>
      <c r="H298" s="8">
        <v>43432</v>
      </c>
      <c r="I298" t="s">
        <v>31</v>
      </c>
      <c r="J298" t="s">
        <v>23</v>
      </c>
      <c r="K298" t="s">
        <v>64</v>
      </c>
      <c r="L298" t="s">
        <v>65</v>
      </c>
      <c r="M298" s="9">
        <v>298.90000000000003</v>
      </c>
      <c r="N298">
        <v>69</v>
      </c>
      <c r="O298" s="10">
        <f>Table1[[#This Row],[Precio unitario]]*Table1[[#This Row],[Cantidad]]</f>
        <v>20624.100000000002</v>
      </c>
      <c r="P298" s="9">
        <v>2144.9064000000008</v>
      </c>
    </row>
    <row r="299" spans="1:16" x14ac:dyDescent="0.35">
      <c r="A299" s="7">
        <v>1345</v>
      </c>
      <c r="B299" s="12">
        <v>43430</v>
      </c>
      <c r="C299" s="7">
        <v>26</v>
      </c>
      <c r="D299" t="s">
        <v>60</v>
      </c>
      <c r="E299" t="s">
        <v>71</v>
      </c>
      <c r="F299" t="s">
        <v>82</v>
      </c>
      <c r="G299" t="s">
        <v>90</v>
      </c>
      <c r="H299" s="8">
        <v>43432</v>
      </c>
      <c r="I299" t="s">
        <v>31</v>
      </c>
      <c r="J299" t="s">
        <v>23</v>
      </c>
      <c r="K299" t="s">
        <v>39</v>
      </c>
      <c r="L299" t="s">
        <v>40</v>
      </c>
      <c r="M299" s="9">
        <v>135.1</v>
      </c>
      <c r="N299">
        <v>37</v>
      </c>
      <c r="O299" s="10">
        <f>Table1[[#This Row],[Precio unitario]]*Table1[[#This Row],[Cantidad]]</f>
        <v>4998.7</v>
      </c>
      <c r="P299" s="9">
        <v>474.87650000000002</v>
      </c>
    </row>
    <row r="300" spans="1:16" x14ac:dyDescent="0.35">
      <c r="A300" s="7">
        <v>1346</v>
      </c>
      <c r="B300" s="12">
        <v>43430</v>
      </c>
      <c r="C300" s="7">
        <v>26</v>
      </c>
      <c r="D300" t="s">
        <v>60</v>
      </c>
      <c r="E300" t="s">
        <v>71</v>
      </c>
      <c r="F300" t="s">
        <v>82</v>
      </c>
      <c r="G300" t="s">
        <v>91</v>
      </c>
      <c r="H300" s="8">
        <v>43432</v>
      </c>
      <c r="I300" t="s">
        <v>31</v>
      </c>
      <c r="J300" t="s">
        <v>23</v>
      </c>
      <c r="K300" t="s">
        <v>52</v>
      </c>
      <c r="L300" t="s">
        <v>97</v>
      </c>
      <c r="M300" s="9">
        <v>257.59999999999997</v>
      </c>
      <c r="N300">
        <v>64</v>
      </c>
      <c r="O300" s="10">
        <f>Table1[[#This Row],[Precio unitario]]*Table1[[#This Row],[Cantidad]]</f>
        <v>16486.399999999998</v>
      </c>
      <c r="P300" s="9">
        <v>1665.1263999999999</v>
      </c>
    </row>
    <row r="301" spans="1:16" x14ac:dyDescent="0.35">
      <c r="A301" s="7">
        <v>1347</v>
      </c>
      <c r="B301" s="12">
        <v>43433</v>
      </c>
      <c r="C301" s="7">
        <v>29</v>
      </c>
      <c r="D301" t="s">
        <v>34</v>
      </c>
      <c r="E301" t="s">
        <v>76</v>
      </c>
      <c r="F301" t="s">
        <v>84</v>
      </c>
      <c r="G301" t="s">
        <v>92</v>
      </c>
      <c r="H301" s="8">
        <v>43435</v>
      </c>
      <c r="I301" t="s">
        <v>15</v>
      </c>
      <c r="J301" t="s">
        <v>16</v>
      </c>
      <c r="K301" t="s">
        <v>17</v>
      </c>
      <c r="L301" t="s">
        <v>18</v>
      </c>
      <c r="M301" s="9">
        <v>196</v>
      </c>
      <c r="N301">
        <v>38</v>
      </c>
      <c r="O301" s="10">
        <f>Table1[[#This Row],[Precio unitario]]*Table1[[#This Row],[Cantidad]]</f>
        <v>7448</v>
      </c>
      <c r="P301" s="9">
        <v>774.5920000000001</v>
      </c>
    </row>
    <row r="302" spans="1:16" x14ac:dyDescent="0.35">
      <c r="A302" s="7">
        <v>1348</v>
      </c>
      <c r="B302" s="12">
        <v>43410</v>
      </c>
      <c r="C302" s="7">
        <v>6</v>
      </c>
      <c r="D302" t="s">
        <v>41</v>
      </c>
      <c r="E302" t="s">
        <v>78</v>
      </c>
      <c r="F302" t="s">
        <v>86</v>
      </c>
      <c r="G302" t="s">
        <v>30</v>
      </c>
      <c r="H302" s="8">
        <v>43412</v>
      </c>
      <c r="I302" t="s">
        <v>31</v>
      </c>
      <c r="J302" t="s">
        <v>16</v>
      </c>
      <c r="K302" t="s">
        <v>35</v>
      </c>
      <c r="L302" t="s">
        <v>36</v>
      </c>
      <c r="M302" s="9">
        <v>178.5</v>
      </c>
      <c r="N302">
        <v>15</v>
      </c>
      <c r="O302" s="10">
        <f>Table1[[#This Row],[Precio unitario]]*Table1[[#This Row],[Cantidad]]</f>
        <v>2677.5</v>
      </c>
      <c r="P302" s="9">
        <v>259.71749999999997</v>
      </c>
    </row>
    <row r="303" spans="1:16" x14ac:dyDescent="0.35">
      <c r="A303" s="7">
        <v>1350</v>
      </c>
      <c r="B303" s="12">
        <v>43408</v>
      </c>
      <c r="C303" s="7">
        <v>4</v>
      </c>
      <c r="D303" t="s">
        <v>21</v>
      </c>
      <c r="E303" t="s">
        <v>77</v>
      </c>
      <c r="F303" t="s">
        <v>83</v>
      </c>
      <c r="G303" t="s">
        <v>90</v>
      </c>
      <c r="H303" s="8">
        <v>43410</v>
      </c>
      <c r="I303" t="s">
        <v>22</v>
      </c>
      <c r="J303" t="s">
        <v>23</v>
      </c>
      <c r="K303" t="s">
        <v>66</v>
      </c>
      <c r="L303" t="s">
        <v>48</v>
      </c>
      <c r="M303" s="9">
        <v>1134</v>
      </c>
      <c r="N303">
        <v>52</v>
      </c>
      <c r="O303" s="10">
        <f>Table1[[#This Row],[Precio unitario]]*Table1[[#This Row],[Cantidad]]</f>
        <v>58968</v>
      </c>
      <c r="P303" s="9">
        <v>5778.8640000000005</v>
      </c>
    </row>
    <row r="304" spans="1:16" x14ac:dyDescent="0.35">
      <c r="A304" s="7">
        <v>1351</v>
      </c>
      <c r="B304" s="12">
        <v>43408</v>
      </c>
      <c r="C304" s="7">
        <v>4</v>
      </c>
      <c r="D304" t="s">
        <v>21</v>
      </c>
      <c r="E304" t="s">
        <v>77</v>
      </c>
      <c r="F304" t="s">
        <v>83</v>
      </c>
      <c r="G304" t="s">
        <v>91</v>
      </c>
      <c r="H304" s="8">
        <v>43410</v>
      </c>
      <c r="I304" t="s">
        <v>22</v>
      </c>
      <c r="J304" t="s">
        <v>23</v>
      </c>
      <c r="K304" t="s">
        <v>67</v>
      </c>
      <c r="L304" t="s">
        <v>98</v>
      </c>
      <c r="M304" s="9">
        <v>98</v>
      </c>
      <c r="N304">
        <v>37</v>
      </c>
      <c r="O304" s="10">
        <f>Table1[[#This Row],[Precio unitario]]*Table1[[#This Row],[Cantidad]]</f>
        <v>3626</v>
      </c>
      <c r="P304" s="9">
        <v>355.34800000000001</v>
      </c>
    </row>
    <row r="305" spans="1:16" x14ac:dyDescent="0.35">
      <c r="A305" s="7">
        <v>1353</v>
      </c>
      <c r="B305" s="12">
        <v>43412</v>
      </c>
      <c r="C305" s="7">
        <v>8</v>
      </c>
      <c r="D305" t="s">
        <v>29</v>
      </c>
      <c r="E305" t="s">
        <v>75</v>
      </c>
      <c r="F305" t="s">
        <v>88</v>
      </c>
      <c r="G305" t="s">
        <v>92</v>
      </c>
      <c r="H305" s="8">
        <v>43414</v>
      </c>
      <c r="I305" t="s">
        <v>31</v>
      </c>
      <c r="J305" t="s">
        <v>23</v>
      </c>
      <c r="K305" t="s">
        <v>56</v>
      </c>
      <c r="L305" t="s">
        <v>57</v>
      </c>
      <c r="M305" s="9">
        <v>487.19999999999993</v>
      </c>
      <c r="N305">
        <v>24</v>
      </c>
      <c r="O305" s="10">
        <f>Table1[[#This Row],[Precio unitario]]*Table1[[#This Row],[Cantidad]]</f>
        <v>11692.8</v>
      </c>
      <c r="P305" s="9">
        <v>1122.5087999999998</v>
      </c>
    </row>
    <row r="306" spans="1:16" x14ac:dyDescent="0.35">
      <c r="A306" s="7">
        <v>1356</v>
      </c>
      <c r="B306" s="12">
        <v>43407</v>
      </c>
      <c r="C306" s="7">
        <v>3</v>
      </c>
      <c r="D306" t="s">
        <v>37</v>
      </c>
      <c r="E306" t="s">
        <v>69</v>
      </c>
      <c r="F306" t="s">
        <v>87</v>
      </c>
      <c r="G306" t="s">
        <v>30</v>
      </c>
      <c r="H306" s="8">
        <v>43409</v>
      </c>
      <c r="I306" t="s">
        <v>15</v>
      </c>
      <c r="J306" t="s">
        <v>38</v>
      </c>
      <c r="K306" t="s">
        <v>95</v>
      </c>
      <c r="L306" t="s">
        <v>49</v>
      </c>
      <c r="M306" s="9">
        <v>140</v>
      </c>
      <c r="N306">
        <v>36</v>
      </c>
      <c r="O306" s="10">
        <f>Table1[[#This Row],[Precio unitario]]*Table1[[#This Row],[Cantidad]]</f>
        <v>5040</v>
      </c>
      <c r="P306" s="9">
        <v>519.12</v>
      </c>
    </row>
    <row r="307" spans="1:16" x14ac:dyDescent="0.35">
      <c r="A307" s="7">
        <v>1357</v>
      </c>
      <c r="B307" s="12">
        <v>43407</v>
      </c>
      <c r="C307" s="7">
        <v>3</v>
      </c>
      <c r="D307" t="s">
        <v>37</v>
      </c>
      <c r="E307" t="s">
        <v>69</v>
      </c>
      <c r="F307" t="s">
        <v>87</v>
      </c>
      <c r="G307" t="s">
        <v>90</v>
      </c>
      <c r="H307" s="8">
        <v>43409</v>
      </c>
      <c r="I307" t="s">
        <v>15</v>
      </c>
      <c r="J307" t="s">
        <v>38</v>
      </c>
      <c r="K307" t="s">
        <v>42</v>
      </c>
      <c r="L307" t="s">
        <v>43</v>
      </c>
      <c r="M307" s="9">
        <v>560</v>
      </c>
      <c r="N307">
        <v>24</v>
      </c>
      <c r="O307" s="10">
        <f>Table1[[#This Row],[Precio unitario]]*Table1[[#This Row],[Cantidad]]</f>
        <v>13440</v>
      </c>
      <c r="P307" s="9">
        <v>1344</v>
      </c>
    </row>
    <row r="308" spans="1:16" x14ac:dyDescent="0.35">
      <c r="A308" s="7">
        <v>1361</v>
      </c>
      <c r="B308" s="12">
        <v>43414</v>
      </c>
      <c r="C308" s="7">
        <v>10</v>
      </c>
      <c r="D308" t="s">
        <v>45</v>
      </c>
      <c r="E308" t="s">
        <v>73</v>
      </c>
      <c r="F308" t="s">
        <v>85</v>
      </c>
      <c r="G308" t="s">
        <v>91</v>
      </c>
      <c r="H308" s="8">
        <v>43416</v>
      </c>
      <c r="I308" t="s">
        <v>15</v>
      </c>
      <c r="J308" t="s">
        <v>23</v>
      </c>
      <c r="K308" t="s">
        <v>58</v>
      </c>
      <c r="L308" t="s">
        <v>20</v>
      </c>
      <c r="M308" s="9">
        <v>140</v>
      </c>
      <c r="N308">
        <v>20</v>
      </c>
      <c r="O308" s="10">
        <f>Table1[[#This Row],[Precio unitario]]*Table1[[#This Row],[Cantidad]]</f>
        <v>2800</v>
      </c>
      <c r="P308" s="9">
        <v>280</v>
      </c>
    </row>
    <row r="309" spans="1:16" x14ac:dyDescent="0.35">
      <c r="A309" s="7">
        <v>1363</v>
      </c>
      <c r="B309" s="12">
        <v>43414</v>
      </c>
      <c r="C309" s="7">
        <v>10</v>
      </c>
      <c r="D309" t="s">
        <v>45</v>
      </c>
      <c r="E309" t="s">
        <v>73</v>
      </c>
      <c r="F309" t="s">
        <v>85</v>
      </c>
      <c r="G309" t="s">
        <v>92</v>
      </c>
      <c r="H309" s="8"/>
      <c r="I309" t="s">
        <v>22</v>
      </c>
      <c r="K309" t="s">
        <v>19</v>
      </c>
      <c r="L309" t="s">
        <v>20</v>
      </c>
      <c r="M309" s="9">
        <v>49</v>
      </c>
      <c r="N309">
        <v>11</v>
      </c>
      <c r="O309" s="10">
        <f>Table1[[#This Row],[Precio unitario]]*Table1[[#This Row],[Cantidad]]</f>
        <v>539</v>
      </c>
      <c r="P309" s="9">
        <v>52.283000000000001</v>
      </c>
    </row>
    <row r="310" spans="1:16" x14ac:dyDescent="0.35">
      <c r="A310" s="7">
        <v>1364</v>
      </c>
      <c r="B310" s="12">
        <v>43415</v>
      </c>
      <c r="C310" s="7">
        <v>11</v>
      </c>
      <c r="D310" t="s">
        <v>50</v>
      </c>
      <c r="E310" t="s">
        <v>71</v>
      </c>
      <c r="F310" t="s">
        <v>82</v>
      </c>
      <c r="G310" t="s">
        <v>30</v>
      </c>
      <c r="H310" s="8"/>
      <c r="I310" t="s">
        <v>31</v>
      </c>
      <c r="K310" t="s">
        <v>42</v>
      </c>
      <c r="L310" t="s">
        <v>43</v>
      </c>
      <c r="M310" s="9">
        <v>560</v>
      </c>
      <c r="N310">
        <v>78</v>
      </c>
      <c r="O310" s="10">
        <f>Table1[[#This Row],[Precio unitario]]*Table1[[#This Row],[Cantidad]]</f>
        <v>43680</v>
      </c>
      <c r="P310" s="9">
        <v>4193.28</v>
      </c>
    </row>
    <row r="311" spans="1:16" x14ac:dyDescent="0.35">
      <c r="A311" s="7">
        <v>1365</v>
      </c>
      <c r="B311" s="12">
        <v>43405</v>
      </c>
      <c r="C311" s="7">
        <v>1</v>
      </c>
      <c r="D311" t="s">
        <v>51</v>
      </c>
      <c r="E311" t="s">
        <v>80</v>
      </c>
      <c r="F311" t="s">
        <v>88</v>
      </c>
      <c r="G311" t="s">
        <v>90</v>
      </c>
      <c r="H311" s="8"/>
      <c r="I311" t="s">
        <v>31</v>
      </c>
      <c r="K311" t="s">
        <v>52</v>
      </c>
      <c r="L311" t="s">
        <v>97</v>
      </c>
      <c r="M311" s="9">
        <v>257.59999999999997</v>
      </c>
      <c r="N311">
        <v>76</v>
      </c>
      <c r="O311" s="10">
        <f>Table1[[#This Row],[Precio unitario]]*Table1[[#This Row],[Cantidad]]</f>
        <v>19577.599999999999</v>
      </c>
      <c r="P311" s="9">
        <v>2016.4928</v>
      </c>
    </row>
    <row r="312" spans="1:16" x14ac:dyDescent="0.35">
      <c r="A312" s="7">
        <v>1366</v>
      </c>
      <c r="B312" s="12">
        <v>43432</v>
      </c>
      <c r="C312" s="7">
        <v>28</v>
      </c>
      <c r="D312" t="s">
        <v>44</v>
      </c>
      <c r="E312" t="s">
        <v>79</v>
      </c>
      <c r="F312" t="s">
        <v>82</v>
      </c>
      <c r="G312" t="s">
        <v>91</v>
      </c>
      <c r="H312" s="8">
        <v>43434</v>
      </c>
      <c r="I312" t="s">
        <v>31</v>
      </c>
      <c r="J312" t="s">
        <v>23</v>
      </c>
      <c r="K312" t="s">
        <v>28</v>
      </c>
      <c r="L312" t="s">
        <v>18</v>
      </c>
      <c r="M312" s="9">
        <v>644</v>
      </c>
      <c r="N312">
        <v>57</v>
      </c>
      <c r="O312" s="10">
        <f>Table1[[#This Row],[Precio unitario]]*Table1[[#This Row],[Cantidad]]</f>
        <v>36708</v>
      </c>
      <c r="P312" s="9">
        <v>3817.6319999999996</v>
      </c>
    </row>
    <row r="313" spans="1:16" x14ac:dyDescent="0.35">
      <c r="A313" s="7">
        <v>1367</v>
      </c>
      <c r="B313" s="12">
        <v>43413</v>
      </c>
      <c r="C313" s="7">
        <v>9</v>
      </c>
      <c r="D313" t="s">
        <v>53</v>
      </c>
      <c r="E313" t="s">
        <v>72</v>
      </c>
      <c r="F313" t="s">
        <v>89</v>
      </c>
      <c r="G313" t="s">
        <v>92</v>
      </c>
      <c r="H313" s="8">
        <v>43415</v>
      </c>
      <c r="I313" t="s">
        <v>22</v>
      </c>
      <c r="J313" t="s">
        <v>16</v>
      </c>
      <c r="K313" t="s">
        <v>39</v>
      </c>
      <c r="L313" t="s">
        <v>40</v>
      </c>
      <c r="M313" s="9">
        <v>135.1</v>
      </c>
      <c r="N313">
        <v>14</v>
      </c>
      <c r="O313" s="10">
        <f>Table1[[#This Row],[Precio unitario]]*Table1[[#This Row],[Cantidad]]</f>
        <v>1891.3999999999999</v>
      </c>
      <c r="P313" s="9">
        <v>181.5744</v>
      </c>
    </row>
    <row r="314" spans="1:16" x14ac:dyDescent="0.35">
      <c r="A314" s="7">
        <v>1368</v>
      </c>
      <c r="B314" s="12">
        <v>43461</v>
      </c>
      <c r="C314" s="7">
        <v>27</v>
      </c>
      <c r="D314" t="s">
        <v>14</v>
      </c>
      <c r="E314" t="s">
        <v>74</v>
      </c>
      <c r="F314" t="s">
        <v>87</v>
      </c>
      <c r="G314" t="s">
        <v>30</v>
      </c>
      <c r="H314" s="8">
        <v>43463</v>
      </c>
      <c r="I314" t="s">
        <v>15</v>
      </c>
      <c r="J314" t="s">
        <v>16</v>
      </c>
      <c r="K314" t="s">
        <v>17</v>
      </c>
      <c r="L314" t="s">
        <v>18</v>
      </c>
      <c r="M314" s="9">
        <v>196</v>
      </c>
      <c r="N314">
        <v>14</v>
      </c>
      <c r="O314" s="10">
        <f>Table1[[#This Row],[Precio unitario]]*Table1[[#This Row],[Cantidad]]</f>
        <v>2744</v>
      </c>
      <c r="P314" s="9">
        <v>277.14400000000006</v>
      </c>
    </row>
    <row r="315" spans="1:16" x14ac:dyDescent="0.35">
      <c r="A315" s="7">
        <v>1369</v>
      </c>
      <c r="B315" s="12">
        <v>43461</v>
      </c>
      <c r="C315" s="7">
        <v>27</v>
      </c>
      <c r="D315" t="s">
        <v>14</v>
      </c>
      <c r="E315" t="s">
        <v>74</v>
      </c>
      <c r="F315" t="s">
        <v>87</v>
      </c>
      <c r="G315" t="s">
        <v>90</v>
      </c>
      <c r="H315" s="8">
        <v>43463</v>
      </c>
      <c r="I315" t="s">
        <v>15</v>
      </c>
      <c r="J315" t="s">
        <v>16</v>
      </c>
      <c r="K315" t="s">
        <v>19</v>
      </c>
      <c r="L315" t="s">
        <v>20</v>
      </c>
      <c r="M315" s="9">
        <v>49</v>
      </c>
      <c r="N315">
        <v>70</v>
      </c>
      <c r="O315" s="10">
        <f>Table1[[#This Row],[Precio unitario]]*Table1[[#This Row],[Cantidad]]</f>
        <v>3430</v>
      </c>
      <c r="P315" s="9">
        <v>353.28999999999996</v>
      </c>
    </row>
    <row r="316" spans="1:16" x14ac:dyDescent="0.35">
      <c r="A316" s="7">
        <v>1370</v>
      </c>
      <c r="B316" s="12">
        <v>43438</v>
      </c>
      <c r="C316" s="7">
        <v>4</v>
      </c>
      <c r="D316" t="s">
        <v>21</v>
      </c>
      <c r="E316" t="s">
        <v>77</v>
      </c>
      <c r="F316" t="s">
        <v>83</v>
      </c>
      <c r="G316" t="s">
        <v>91</v>
      </c>
      <c r="H316" s="8">
        <v>43440</v>
      </c>
      <c r="I316" t="s">
        <v>22</v>
      </c>
      <c r="J316" t="s">
        <v>23</v>
      </c>
      <c r="K316" t="s">
        <v>24</v>
      </c>
      <c r="L316" t="s">
        <v>20</v>
      </c>
      <c r="M316" s="9">
        <v>420</v>
      </c>
      <c r="N316">
        <v>100</v>
      </c>
      <c r="O316" s="10">
        <f>Table1[[#This Row],[Precio unitario]]*Table1[[#This Row],[Cantidad]]</f>
        <v>42000</v>
      </c>
      <c r="P316" s="9">
        <v>4074</v>
      </c>
    </row>
    <row r="317" spans="1:16" x14ac:dyDescent="0.35">
      <c r="A317" s="7">
        <v>1371</v>
      </c>
      <c r="B317" s="12">
        <v>43438</v>
      </c>
      <c r="C317" s="7">
        <v>4</v>
      </c>
      <c r="D317" t="s">
        <v>21</v>
      </c>
      <c r="E317" t="s">
        <v>77</v>
      </c>
      <c r="F317" t="s">
        <v>83</v>
      </c>
      <c r="G317" t="s">
        <v>92</v>
      </c>
      <c r="H317" s="8">
        <v>43440</v>
      </c>
      <c r="I317" t="s">
        <v>22</v>
      </c>
      <c r="J317" t="s">
        <v>23</v>
      </c>
      <c r="K317" t="s">
        <v>25</v>
      </c>
      <c r="L317" t="s">
        <v>20</v>
      </c>
      <c r="M317" s="9">
        <v>742</v>
      </c>
      <c r="N317">
        <v>27</v>
      </c>
      <c r="O317" s="10">
        <f>Table1[[#This Row],[Precio unitario]]*Table1[[#This Row],[Cantidad]]</f>
        <v>20034</v>
      </c>
      <c r="P317" s="9">
        <v>2003.3999999999999</v>
      </c>
    </row>
    <row r="318" spans="1:16" x14ac:dyDescent="0.35">
      <c r="A318" s="7">
        <v>1372</v>
      </c>
      <c r="B318" s="12">
        <v>43438</v>
      </c>
      <c r="C318" s="7">
        <v>4</v>
      </c>
      <c r="D318" t="s">
        <v>21</v>
      </c>
      <c r="E318" t="s">
        <v>77</v>
      </c>
      <c r="F318" t="s">
        <v>83</v>
      </c>
      <c r="G318" t="s">
        <v>30</v>
      </c>
      <c r="H318" s="8">
        <v>43440</v>
      </c>
      <c r="I318" t="s">
        <v>22</v>
      </c>
      <c r="J318" t="s">
        <v>23</v>
      </c>
      <c r="K318" t="s">
        <v>19</v>
      </c>
      <c r="L318" t="s">
        <v>20</v>
      </c>
      <c r="M318" s="9">
        <v>49</v>
      </c>
      <c r="N318">
        <v>70</v>
      </c>
      <c r="O318" s="10">
        <f>Table1[[#This Row],[Precio unitario]]*Table1[[#This Row],[Cantidad]]</f>
        <v>3430</v>
      </c>
      <c r="P318" s="9">
        <v>336.14</v>
      </c>
    </row>
    <row r="319" spans="1:16" x14ac:dyDescent="0.35">
      <c r="A319" s="7">
        <v>1373</v>
      </c>
      <c r="B319" s="12">
        <v>43446</v>
      </c>
      <c r="C319" s="7">
        <v>12</v>
      </c>
      <c r="D319" t="s">
        <v>26</v>
      </c>
      <c r="E319" t="s">
        <v>74</v>
      </c>
      <c r="F319" t="s">
        <v>87</v>
      </c>
      <c r="G319" t="s">
        <v>90</v>
      </c>
      <c r="H319" s="8">
        <v>43448</v>
      </c>
      <c r="I319" t="s">
        <v>15</v>
      </c>
      <c r="J319" t="s">
        <v>23</v>
      </c>
      <c r="K319" t="s">
        <v>27</v>
      </c>
      <c r="L319" t="s">
        <v>18</v>
      </c>
      <c r="M319" s="9">
        <v>252</v>
      </c>
      <c r="N319">
        <v>57</v>
      </c>
      <c r="O319" s="10">
        <f>Table1[[#This Row],[Precio unitario]]*Table1[[#This Row],[Cantidad]]</f>
        <v>14364</v>
      </c>
      <c r="P319" s="9">
        <v>1436.4</v>
      </c>
    </row>
    <row r="320" spans="1:16" x14ac:dyDescent="0.35">
      <c r="A320" s="7">
        <v>1374</v>
      </c>
      <c r="B320" s="12">
        <v>43446</v>
      </c>
      <c r="C320" s="7">
        <v>12</v>
      </c>
      <c r="D320" t="s">
        <v>26</v>
      </c>
      <c r="E320" t="s">
        <v>74</v>
      </c>
      <c r="F320" t="s">
        <v>87</v>
      </c>
      <c r="G320" t="s">
        <v>91</v>
      </c>
      <c r="H320" s="8">
        <v>43448</v>
      </c>
      <c r="I320" t="s">
        <v>15</v>
      </c>
      <c r="J320" t="s">
        <v>23</v>
      </c>
      <c r="K320" t="s">
        <v>28</v>
      </c>
      <c r="L320" t="s">
        <v>18</v>
      </c>
      <c r="M320" s="9">
        <v>644</v>
      </c>
      <c r="N320">
        <v>83</v>
      </c>
      <c r="O320" s="10">
        <f>Table1[[#This Row],[Precio unitario]]*Table1[[#This Row],[Cantidad]]</f>
        <v>53452</v>
      </c>
      <c r="P320" s="9">
        <v>5238.2960000000003</v>
      </c>
    </row>
    <row r="321" spans="1:16" x14ac:dyDescent="0.35">
      <c r="A321" s="7">
        <v>1375</v>
      </c>
      <c r="B321" s="12">
        <v>43442</v>
      </c>
      <c r="C321" s="7">
        <v>8</v>
      </c>
      <c r="D321" t="s">
        <v>29</v>
      </c>
      <c r="E321" t="s">
        <v>75</v>
      </c>
      <c r="F321" t="s">
        <v>88</v>
      </c>
      <c r="G321" t="s">
        <v>92</v>
      </c>
      <c r="H321" s="8">
        <v>43444</v>
      </c>
      <c r="I321" t="s">
        <v>31</v>
      </c>
      <c r="J321" t="s">
        <v>23</v>
      </c>
      <c r="K321" t="s">
        <v>32</v>
      </c>
      <c r="L321" t="s">
        <v>33</v>
      </c>
      <c r="M321" s="9">
        <v>128.79999999999998</v>
      </c>
      <c r="N321">
        <v>76</v>
      </c>
      <c r="O321" s="10">
        <f>Table1[[#This Row],[Precio unitario]]*Table1[[#This Row],[Cantidad]]</f>
        <v>9788.7999999999993</v>
      </c>
      <c r="P321" s="9">
        <v>939.72479999999996</v>
      </c>
    </row>
    <row r="322" spans="1:16" x14ac:dyDescent="0.35">
      <c r="A322" s="7">
        <v>1376</v>
      </c>
      <c r="B322" s="12">
        <v>43438</v>
      </c>
      <c r="C322" s="7">
        <v>4</v>
      </c>
      <c r="D322" t="s">
        <v>21</v>
      </c>
      <c r="E322" t="s">
        <v>77</v>
      </c>
      <c r="F322" t="s">
        <v>83</v>
      </c>
      <c r="G322" t="s">
        <v>30</v>
      </c>
      <c r="H322" s="8">
        <v>43440</v>
      </c>
      <c r="I322" t="s">
        <v>31</v>
      </c>
      <c r="J322" t="s">
        <v>16</v>
      </c>
      <c r="K322" t="s">
        <v>32</v>
      </c>
      <c r="L322" t="s">
        <v>33</v>
      </c>
      <c r="M322" s="9">
        <v>128.79999999999998</v>
      </c>
      <c r="N322">
        <v>80</v>
      </c>
      <c r="O322" s="10">
        <f>Table1[[#This Row],[Precio unitario]]*Table1[[#This Row],[Cantidad]]</f>
        <v>10303.999999999998</v>
      </c>
      <c r="P322" s="9">
        <v>1020.096</v>
      </c>
    </row>
    <row r="323" spans="1:16" x14ac:dyDescent="0.35">
      <c r="A323" s="7">
        <v>1377</v>
      </c>
      <c r="B323" s="12">
        <v>43463</v>
      </c>
      <c r="C323" s="7">
        <v>29</v>
      </c>
      <c r="D323" t="s">
        <v>34</v>
      </c>
      <c r="E323" t="s">
        <v>76</v>
      </c>
      <c r="F323" t="s">
        <v>84</v>
      </c>
      <c r="G323" t="s">
        <v>90</v>
      </c>
      <c r="H323" s="8">
        <v>43465</v>
      </c>
      <c r="I323" t="s">
        <v>15</v>
      </c>
      <c r="J323" t="s">
        <v>16</v>
      </c>
      <c r="K323" t="s">
        <v>35</v>
      </c>
      <c r="L323" t="s">
        <v>36</v>
      </c>
      <c r="M323" s="9">
        <v>178.5</v>
      </c>
      <c r="N323">
        <v>47</v>
      </c>
      <c r="O323" s="10">
        <f>Table1[[#This Row],[Precio unitario]]*Table1[[#This Row],[Cantidad]]</f>
        <v>8389.5</v>
      </c>
      <c r="P323" s="9">
        <v>830.56050000000005</v>
      </c>
    </row>
    <row r="324" spans="1:16" x14ac:dyDescent="0.35">
      <c r="A324" s="7">
        <v>1378</v>
      </c>
      <c r="B324" s="12">
        <v>43437</v>
      </c>
      <c r="C324" s="7">
        <v>3</v>
      </c>
      <c r="D324" t="s">
        <v>37</v>
      </c>
      <c r="E324" t="s">
        <v>69</v>
      </c>
      <c r="F324" t="s">
        <v>87</v>
      </c>
      <c r="G324" t="s">
        <v>91</v>
      </c>
      <c r="H324" s="8">
        <v>43439</v>
      </c>
      <c r="I324" t="s">
        <v>15</v>
      </c>
      <c r="J324" t="s">
        <v>38</v>
      </c>
      <c r="K324" t="s">
        <v>39</v>
      </c>
      <c r="L324" t="s">
        <v>40</v>
      </c>
      <c r="M324" s="9">
        <v>135.1</v>
      </c>
      <c r="N324">
        <v>96</v>
      </c>
      <c r="O324" s="10">
        <f>Table1[[#This Row],[Precio unitario]]*Table1[[#This Row],[Cantidad]]</f>
        <v>12969.599999999999</v>
      </c>
      <c r="P324" s="9">
        <v>1322.8992000000003</v>
      </c>
    </row>
    <row r="325" spans="1:16" x14ac:dyDescent="0.35">
      <c r="A325" s="7">
        <v>1379</v>
      </c>
      <c r="B325" s="12">
        <v>43440</v>
      </c>
      <c r="C325" s="7">
        <v>6</v>
      </c>
      <c r="D325" t="s">
        <v>41</v>
      </c>
      <c r="E325" t="s">
        <v>78</v>
      </c>
      <c r="F325" t="s">
        <v>86</v>
      </c>
      <c r="G325" t="s">
        <v>92</v>
      </c>
      <c r="H325" s="8">
        <v>43442</v>
      </c>
      <c r="I325" t="s">
        <v>15</v>
      </c>
      <c r="J325" t="s">
        <v>23</v>
      </c>
      <c r="K325" t="s">
        <v>42</v>
      </c>
      <c r="L325" t="s">
        <v>43</v>
      </c>
      <c r="M325" s="9">
        <v>560</v>
      </c>
      <c r="N325">
        <v>32</v>
      </c>
      <c r="O325" s="10">
        <f>Table1[[#This Row],[Precio unitario]]*Table1[[#This Row],[Cantidad]]</f>
        <v>17920</v>
      </c>
      <c r="P325" s="9">
        <v>1881.6000000000001</v>
      </c>
    </row>
    <row r="326" spans="1:16" x14ac:dyDescent="0.35">
      <c r="A326" s="7">
        <v>1380</v>
      </c>
      <c r="B326" s="12">
        <v>43462</v>
      </c>
      <c r="C326" s="7">
        <v>28</v>
      </c>
      <c r="D326" t="s">
        <v>44</v>
      </c>
      <c r="E326" t="s">
        <v>79</v>
      </c>
      <c r="F326" t="s">
        <v>82</v>
      </c>
      <c r="G326" t="s">
        <v>30</v>
      </c>
      <c r="H326" s="8">
        <v>43464</v>
      </c>
      <c r="I326" t="s">
        <v>31</v>
      </c>
      <c r="J326" t="s">
        <v>16</v>
      </c>
      <c r="K326" t="s">
        <v>28</v>
      </c>
      <c r="L326" t="s">
        <v>18</v>
      </c>
      <c r="M326" s="9">
        <v>644</v>
      </c>
      <c r="N326">
        <v>16</v>
      </c>
      <c r="O326" s="10">
        <f>Table1[[#This Row],[Precio unitario]]*Table1[[#This Row],[Cantidad]]</f>
        <v>10304</v>
      </c>
      <c r="P326" s="9">
        <v>1030.4000000000001</v>
      </c>
    </row>
    <row r="327" spans="1:16" x14ac:dyDescent="0.35">
      <c r="A327" s="7">
        <v>1381</v>
      </c>
      <c r="B327" s="12">
        <v>43442</v>
      </c>
      <c r="C327" s="7">
        <v>8</v>
      </c>
      <c r="D327" t="s">
        <v>29</v>
      </c>
      <c r="E327" t="s">
        <v>75</v>
      </c>
      <c r="F327" t="s">
        <v>88</v>
      </c>
      <c r="G327" t="s">
        <v>90</v>
      </c>
      <c r="H327" s="8">
        <v>43444</v>
      </c>
      <c r="I327" t="s">
        <v>31</v>
      </c>
      <c r="J327" t="s">
        <v>16</v>
      </c>
      <c r="K327" t="s">
        <v>35</v>
      </c>
      <c r="L327" t="s">
        <v>36</v>
      </c>
      <c r="M327" s="9">
        <v>178.5</v>
      </c>
      <c r="N327">
        <v>41</v>
      </c>
      <c r="O327" s="10">
        <f>Table1[[#This Row],[Precio unitario]]*Table1[[#This Row],[Cantidad]]</f>
        <v>7318.5</v>
      </c>
      <c r="P327" s="9">
        <v>717.21299999999997</v>
      </c>
    </row>
    <row r="328" spans="1:16" x14ac:dyDescent="0.35">
      <c r="A328" s="7">
        <v>1382</v>
      </c>
      <c r="B328" s="12">
        <v>43444</v>
      </c>
      <c r="C328" s="7">
        <v>10</v>
      </c>
      <c r="D328" t="s">
        <v>45</v>
      </c>
      <c r="E328" t="s">
        <v>73</v>
      </c>
      <c r="F328" t="s">
        <v>85</v>
      </c>
      <c r="G328" t="s">
        <v>91</v>
      </c>
      <c r="H328" s="8">
        <v>43446</v>
      </c>
      <c r="I328" t="s">
        <v>15</v>
      </c>
      <c r="J328" t="s">
        <v>23</v>
      </c>
      <c r="K328" t="s">
        <v>46</v>
      </c>
      <c r="L328" t="s">
        <v>18</v>
      </c>
      <c r="M328" s="9">
        <v>41.86</v>
      </c>
      <c r="N328">
        <v>41</v>
      </c>
      <c r="O328" s="10">
        <f>Table1[[#This Row],[Precio unitario]]*Table1[[#This Row],[Cantidad]]</f>
        <v>1716.26</v>
      </c>
      <c r="P328" s="9">
        <v>180.20730000000003</v>
      </c>
    </row>
    <row r="329" spans="1:16" x14ac:dyDescent="0.35">
      <c r="A329" s="7">
        <v>1383</v>
      </c>
      <c r="B329" s="12">
        <v>43441</v>
      </c>
      <c r="C329" s="7">
        <v>7</v>
      </c>
      <c r="D329" t="s">
        <v>47</v>
      </c>
      <c r="E329" t="s">
        <v>70</v>
      </c>
      <c r="F329" t="s">
        <v>88</v>
      </c>
      <c r="G329" t="s">
        <v>92</v>
      </c>
      <c r="H329" s="8"/>
      <c r="K329" t="s">
        <v>28</v>
      </c>
      <c r="L329" t="s">
        <v>18</v>
      </c>
      <c r="M329" s="9">
        <v>644</v>
      </c>
      <c r="N329">
        <v>41</v>
      </c>
      <c r="O329" s="10">
        <f>Table1[[#This Row],[Precio unitario]]*Table1[[#This Row],[Cantidad]]</f>
        <v>26404</v>
      </c>
      <c r="P329" s="9">
        <v>2719.6120000000005</v>
      </c>
    </row>
    <row r="330" spans="1:16" x14ac:dyDescent="0.35">
      <c r="A330" s="7">
        <v>1384</v>
      </c>
      <c r="B330" s="12">
        <v>43444</v>
      </c>
      <c r="C330" s="7">
        <v>10</v>
      </c>
      <c r="D330" t="s">
        <v>45</v>
      </c>
      <c r="E330" t="s">
        <v>73</v>
      </c>
      <c r="F330" t="s">
        <v>85</v>
      </c>
      <c r="G330" t="s">
        <v>30</v>
      </c>
      <c r="H330" s="8">
        <v>43446</v>
      </c>
      <c r="I330" t="s">
        <v>22</v>
      </c>
      <c r="K330" t="s">
        <v>93</v>
      </c>
      <c r="L330" t="s">
        <v>48</v>
      </c>
      <c r="M330" s="9">
        <v>350</v>
      </c>
      <c r="N330">
        <v>94</v>
      </c>
      <c r="O330" s="10">
        <f>Table1[[#This Row],[Precio unitario]]*Table1[[#This Row],[Cantidad]]</f>
        <v>32900</v>
      </c>
      <c r="P330" s="9">
        <v>3290</v>
      </c>
    </row>
    <row r="331" spans="1:16" x14ac:dyDescent="0.35">
      <c r="A331" s="7">
        <v>1385</v>
      </c>
      <c r="B331" s="12">
        <v>43444</v>
      </c>
      <c r="C331" s="7">
        <v>10</v>
      </c>
      <c r="D331" t="s">
        <v>45</v>
      </c>
      <c r="E331" t="s">
        <v>73</v>
      </c>
      <c r="F331" t="s">
        <v>85</v>
      </c>
      <c r="G331" t="s">
        <v>90</v>
      </c>
      <c r="H331" s="8">
        <v>43446</v>
      </c>
      <c r="I331" t="s">
        <v>22</v>
      </c>
      <c r="K331" t="s">
        <v>49</v>
      </c>
      <c r="L331" t="s">
        <v>49</v>
      </c>
      <c r="M331" s="9">
        <v>308</v>
      </c>
      <c r="N331">
        <v>20</v>
      </c>
      <c r="O331" s="10">
        <f>Table1[[#This Row],[Precio unitario]]*Table1[[#This Row],[Cantidad]]</f>
        <v>6160</v>
      </c>
      <c r="P331" s="9">
        <v>646.80000000000007</v>
      </c>
    </row>
    <row r="332" spans="1:16" x14ac:dyDescent="0.35">
      <c r="A332" s="7">
        <v>1386</v>
      </c>
      <c r="B332" s="12">
        <v>43444</v>
      </c>
      <c r="C332" s="7">
        <v>10</v>
      </c>
      <c r="D332" t="s">
        <v>45</v>
      </c>
      <c r="E332" t="s">
        <v>73</v>
      </c>
      <c r="F332" t="s">
        <v>85</v>
      </c>
      <c r="G332" t="s">
        <v>91</v>
      </c>
      <c r="H332" s="8">
        <v>43446</v>
      </c>
      <c r="I332" t="s">
        <v>22</v>
      </c>
      <c r="K332" t="s">
        <v>32</v>
      </c>
      <c r="L332" t="s">
        <v>33</v>
      </c>
      <c r="M332" s="9">
        <v>128.79999999999998</v>
      </c>
      <c r="N332">
        <v>13</v>
      </c>
      <c r="O332" s="10">
        <f>Table1[[#This Row],[Precio unitario]]*Table1[[#This Row],[Cantidad]]</f>
        <v>1674.3999999999999</v>
      </c>
      <c r="P332" s="9">
        <v>174.13760000000002</v>
      </c>
    </row>
    <row r="333" spans="1:16" x14ac:dyDescent="0.35">
      <c r="A333" s="7">
        <v>1387</v>
      </c>
      <c r="B333" s="12">
        <v>43445</v>
      </c>
      <c r="C333" s="7">
        <v>11</v>
      </c>
      <c r="D333" t="s">
        <v>50</v>
      </c>
      <c r="E333" t="s">
        <v>71</v>
      </c>
      <c r="F333" t="s">
        <v>82</v>
      </c>
      <c r="G333" t="s">
        <v>92</v>
      </c>
      <c r="H333" s="8"/>
      <c r="I333" t="s">
        <v>31</v>
      </c>
      <c r="K333" t="s">
        <v>19</v>
      </c>
      <c r="L333" t="s">
        <v>20</v>
      </c>
      <c r="M333" s="9">
        <v>49</v>
      </c>
      <c r="N333">
        <v>74</v>
      </c>
      <c r="O333" s="10">
        <f>Table1[[#This Row],[Precio unitario]]*Table1[[#This Row],[Cantidad]]</f>
        <v>3626</v>
      </c>
      <c r="P333" s="9">
        <v>377.10400000000004</v>
      </c>
    </row>
    <row r="334" spans="1:16" x14ac:dyDescent="0.35">
      <c r="A334" s="7">
        <v>1388</v>
      </c>
      <c r="B334" s="12">
        <v>43445</v>
      </c>
      <c r="C334" s="7">
        <v>11</v>
      </c>
      <c r="D334" t="s">
        <v>50</v>
      </c>
      <c r="E334" t="s">
        <v>71</v>
      </c>
      <c r="F334" t="s">
        <v>82</v>
      </c>
      <c r="G334" t="s">
        <v>30</v>
      </c>
      <c r="H334" s="8"/>
      <c r="I334" t="s">
        <v>31</v>
      </c>
      <c r="K334" t="s">
        <v>46</v>
      </c>
      <c r="L334" t="s">
        <v>18</v>
      </c>
      <c r="M334" s="9">
        <v>41.86</v>
      </c>
      <c r="N334">
        <v>53</v>
      </c>
      <c r="O334" s="10">
        <f>Table1[[#This Row],[Precio unitario]]*Table1[[#This Row],[Cantidad]]</f>
        <v>2218.58</v>
      </c>
      <c r="P334" s="9">
        <v>224.07658000000004</v>
      </c>
    </row>
    <row r="335" spans="1:16" x14ac:dyDescent="0.35">
      <c r="A335" s="7">
        <v>1389</v>
      </c>
      <c r="B335" s="12">
        <v>43435</v>
      </c>
      <c r="C335" s="7">
        <v>1</v>
      </c>
      <c r="D335" t="s">
        <v>51</v>
      </c>
      <c r="E335" t="s">
        <v>80</v>
      </c>
      <c r="F335" t="s">
        <v>88</v>
      </c>
      <c r="G335" t="s">
        <v>90</v>
      </c>
      <c r="H335" s="8"/>
      <c r="K335" t="s">
        <v>27</v>
      </c>
      <c r="L335" t="s">
        <v>18</v>
      </c>
      <c r="M335" s="9">
        <v>252</v>
      </c>
      <c r="N335">
        <v>99</v>
      </c>
      <c r="O335" s="10">
        <f>Table1[[#This Row],[Precio unitario]]*Table1[[#This Row],[Cantidad]]</f>
        <v>24948</v>
      </c>
      <c r="P335" s="9">
        <v>2444.9040000000005</v>
      </c>
    </row>
    <row r="336" spans="1:16" x14ac:dyDescent="0.35">
      <c r="A336" s="7">
        <v>1390</v>
      </c>
      <c r="B336" s="12">
        <v>43435</v>
      </c>
      <c r="C336" s="7">
        <v>1</v>
      </c>
      <c r="D336" t="s">
        <v>51</v>
      </c>
      <c r="E336" t="s">
        <v>80</v>
      </c>
      <c r="F336" t="s">
        <v>88</v>
      </c>
      <c r="G336" t="s">
        <v>91</v>
      </c>
      <c r="H336" s="8"/>
      <c r="K336" t="s">
        <v>28</v>
      </c>
      <c r="L336" t="s">
        <v>18</v>
      </c>
      <c r="M336" s="9">
        <v>644</v>
      </c>
      <c r="N336">
        <v>89</v>
      </c>
      <c r="O336" s="10">
        <f>Table1[[#This Row],[Precio unitario]]*Table1[[#This Row],[Cantidad]]</f>
        <v>57316</v>
      </c>
      <c r="P336" s="9">
        <v>5445.02</v>
      </c>
    </row>
    <row r="337" spans="1:16" x14ac:dyDescent="0.35">
      <c r="A337" s="7">
        <v>1391</v>
      </c>
      <c r="B337" s="12">
        <v>43435</v>
      </c>
      <c r="C337" s="7">
        <v>1</v>
      </c>
      <c r="D337" t="s">
        <v>51</v>
      </c>
      <c r="E337" t="s">
        <v>80</v>
      </c>
      <c r="F337" t="s">
        <v>88</v>
      </c>
      <c r="G337" t="s">
        <v>92</v>
      </c>
      <c r="H337" s="8"/>
      <c r="K337" t="s">
        <v>46</v>
      </c>
      <c r="L337" t="s">
        <v>18</v>
      </c>
      <c r="M337" s="9">
        <v>41.86</v>
      </c>
      <c r="N337">
        <v>64</v>
      </c>
      <c r="O337" s="10">
        <f>Table1[[#This Row],[Precio unitario]]*Table1[[#This Row],[Cantidad]]</f>
        <v>2679.04</v>
      </c>
      <c r="P337" s="9">
        <v>273.26208000000003</v>
      </c>
    </row>
    <row r="338" spans="1:16" x14ac:dyDescent="0.35">
      <c r="A338" s="7">
        <v>1392</v>
      </c>
      <c r="B338" s="12">
        <v>43462</v>
      </c>
      <c r="C338" s="7">
        <v>28</v>
      </c>
      <c r="D338" t="s">
        <v>44</v>
      </c>
      <c r="E338" t="s">
        <v>79</v>
      </c>
      <c r="F338" t="s">
        <v>82</v>
      </c>
      <c r="G338" t="s">
        <v>30</v>
      </c>
      <c r="H338" s="8">
        <v>43464</v>
      </c>
      <c r="I338" t="s">
        <v>31</v>
      </c>
      <c r="J338" t="s">
        <v>23</v>
      </c>
      <c r="K338" t="s">
        <v>39</v>
      </c>
      <c r="L338" t="s">
        <v>40</v>
      </c>
      <c r="M338" s="9">
        <v>135.1</v>
      </c>
      <c r="N338">
        <v>98</v>
      </c>
      <c r="O338" s="10">
        <f>Table1[[#This Row],[Precio unitario]]*Table1[[#This Row],[Cantidad]]</f>
        <v>13239.8</v>
      </c>
      <c r="P338" s="9">
        <v>1350.4596000000001</v>
      </c>
    </row>
    <row r="339" spans="1:16" x14ac:dyDescent="0.35">
      <c r="A339" s="7">
        <v>1393</v>
      </c>
      <c r="B339" s="12">
        <v>43462</v>
      </c>
      <c r="C339" s="7">
        <v>28</v>
      </c>
      <c r="D339" t="s">
        <v>44</v>
      </c>
      <c r="E339" t="s">
        <v>79</v>
      </c>
      <c r="F339" t="s">
        <v>82</v>
      </c>
      <c r="G339" t="s">
        <v>90</v>
      </c>
      <c r="H339" s="8">
        <v>43464</v>
      </c>
      <c r="I339" t="s">
        <v>31</v>
      </c>
      <c r="J339" t="s">
        <v>23</v>
      </c>
      <c r="K339" t="s">
        <v>52</v>
      </c>
      <c r="L339" t="s">
        <v>97</v>
      </c>
      <c r="M339" s="9">
        <v>257.59999999999997</v>
      </c>
      <c r="N339">
        <v>86</v>
      </c>
      <c r="O339" s="10">
        <f>Table1[[#This Row],[Precio unitario]]*Table1[[#This Row],[Cantidad]]</f>
        <v>22153.599999999999</v>
      </c>
      <c r="P339" s="9">
        <v>2171.0527999999999</v>
      </c>
    </row>
    <row r="340" spans="1:16" x14ac:dyDescent="0.35">
      <c r="A340" s="7">
        <v>1394</v>
      </c>
      <c r="B340" s="12">
        <v>43443</v>
      </c>
      <c r="C340" s="7">
        <v>9</v>
      </c>
      <c r="D340" t="s">
        <v>53</v>
      </c>
      <c r="E340" t="s">
        <v>72</v>
      </c>
      <c r="F340" t="s">
        <v>89</v>
      </c>
      <c r="G340" t="s">
        <v>91</v>
      </c>
      <c r="H340" s="8">
        <v>43445</v>
      </c>
      <c r="I340" t="s">
        <v>22</v>
      </c>
      <c r="J340" t="s">
        <v>16</v>
      </c>
      <c r="K340" t="s">
        <v>54</v>
      </c>
      <c r="L340" t="s">
        <v>55</v>
      </c>
      <c r="M340" s="9">
        <v>273</v>
      </c>
      <c r="N340">
        <v>20</v>
      </c>
      <c r="O340" s="10">
        <f>Table1[[#This Row],[Precio unitario]]*Table1[[#This Row],[Cantidad]]</f>
        <v>5460</v>
      </c>
      <c r="P340" s="9">
        <v>573.30000000000007</v>
      </c>
    </row>
    <row r="341" spans="1:16" x14ac:dyDescent="0.35">
      <c r="A341" s="7">
        <v>1395</v>
      </c>
      <c r="B341" s="12">
        <v>43443</v>
      </c>
      <c r="C341" s="7">
        <v>9</v>
      </c>
      <c r="D341" t="s">
        <v>53</v>
      </c>
      <c r="E341" t="s">
        <v>72</v>
      </c>
      <c r="F341" t="s">
        <v>89</v>
      </c>
      <c r="G341" t="s">
        <v>92</v>
      </c>
      <c r="H341" s="8">
        <v>43445</v>
      </c>
      <c r="I341" t="s">
        <v>22</v>
      </c>
      <c r="J341" t="s">
        <v>16</v>
      </c>
      <c r="K341" t="s">
        <v>56</v>
      </c>
      <c r="L341" t="s">
        <v>57</v>
      </c>
      <c r="M341" s="9">
        <v>487.19999999999993</v>
      </c>
      <c r="N341">
        <v>69</v>
      </c>
      <c r="O341" s="10">
        <f>Table1[[#This Row],[Precio unitario]]*Table1[[#This Row],[Cantidad]]</f>
        <v>33616.799999999996</v>
      </c>
      <c r="P341" s="9">
        <v>3361.6800000000003</v>
      </c>
    </row>
    <row r="342" spans="1:16" x14ac:dyDescent="0.35">
      <c r="A342" s="7">
        <v>1396</v>
      </c>
      <c r="B342" s="12">
        <v>43440</v>
      </c>
      <c r="C342" s="7">
        <v>6</v>
      </c>
      <c r="D342" t="s">
        <v>41</v>
      </c>
      <c r="E342" t="s">
        <v>78</v>
      </c>
      <c r="F342" t="s">
        <v>86</v>
      </c>
      <c r="G342" t="s">
        <v>30</v>
      </c>
      <c r="H342" s="8">
        <v>43442</v>
      </c>
      <c r="I342" t="s">
        <v>15</v>
      </c>
      <c r="J342" t="s">
        <v>23</v>
      </c>
      <c r="K342" t="s">
        <v>17</v>
      </c>
      <c r="L342" t="s">
        <v>18</v>
      </c>
      <c r="M342" s="9">
        <v>196</v>
      </c>
      <c r="N342">
        <v>68</v>
      </c>
      <c r="O342" s="10">
        <f>Table1[[#This Row],[Precio unitario]]*Table1[[#This Row],[Cantidad]]</f>
        <v>13328</v>
      </c>
      <c r="P342" s="9">
        <v>1279.4879999999998</v>
      </c>
    </row>
    <row r="343" spans="1:16" x14ac:dyDescent="0.35">
      <c r="A343" s="7">
        <v>1397</v>
      </c>
      <c r="B343" s="12">
        <v>43442</v>
      </c>
      <c r="C343" s="7">
        <v>8</v>
      </c>
      <c r="D343" t="s">
        <v>29</v>
      </c>
      <c r="E343" t="s">
        <v>75</v>
      </c>
      <c r="F343" t="s">
        <v>88</v>
      </c>
      <c r="G343" t="s">
        <v>90</v>
      </c>
      <c r="H343" s="8">
        <v>43444</v>
      </c>
      <c r="I343" t="s">
        <v>15</v>
      </c>
      <c r="J343" t="s">
        <v>16</v>
      </c>
      <c r="K343" t="s">
        <v>42</v>
      </c>
      <c r="L343" t="s">
        <v>43</v>
      </c>
      <c r="M343" s="9">
        <v>560</v>
      </c>
      <c r="N343">
        <v>52</v>
      </c>
      <c r="O343" s="10">
        <f>Table1[[#This Row],[Precio unitario]]*Table1[[#This Row],[Cantidad]]</f>
        <v>29120</v>
      </c>
      <c r="P343" s="9">
        <v>2853.76</v>
      </c>
    </row>
    <row r="344" spans="1:16" x14ac:dyDescent="0.35">
      <c r="A344" s="7">
        <v>1398</v>
      </c>
      <c r="B344" s="12">
        <v>43442</v>
      </c>
      <c r="C344" s="7">
        <v>8</v>
      </c>
      <c r="D344" t="s">
        <v>29</v>
      </c>
      <c r="E344" t="s">
        <v>75</v>
      </c>
      <c r="F344" t="s">
        <v>88</v>
      </c>
      <c r="G344" t="s">
        <v>91</v>
      </c>
      <c r="H344" s="8">
        <v>43444</v>
      </c>
      <c r="I344" t="s">
        <v>15</v>
      </c>
      <c r="J344" t="s">
        <v>16</v>
      </c>
      <c r="K344" t="s">
        <v>32</v>
      </c>
      <c r="L344" t="s">
        <v>33</v>
      </c>
      <c r="M344" s="9">
        <v>128.79999999999998</v>
      </c>
      <c r="N344">
        <v>40</v>
      </c>
      <c r="O344" s="10">
        <f>Table1[[#This Row],[Precio unitario]]*Table1[[#This Row],[Cantidad]]</f>
        <v>5151.9999999999991</v>
      </c>
      <c r="P344" s="9">
        <v>540.96000000000015</v>
      </c>
    </row>
    <row r="345" spans="1:16" x14ac:dyDescent="0.35">
      <c r="A345" s="7">
        <v>1399</v>
      </c>
      <c r="B345" s="12">
        <v>43459</v>
      </c>
      <c r="C345" s="7">
        <v>25</v>
      </c>
      <c r="D345" t="s">
        <v>59</v>
      </c>
      <c r="E345" t="s">
        <v>73</v>
      </c>
      <c r="F345" t="s">
        <v>85</v>
      </c>
      <c r="G345" t="s">
        <v>92</v>
      </c>
      <c r="H345" s="8">
        <v>43461</v>
      </c>
      <c r="I345" t="s">
        <v>22</v>
      </c>
      <c r="J345" t="s">
        <v>38</v>
      </c>
      <c r="K345" t="s">
        <v>94</v>
      </c>
      <c r="L345" t="s">
        <v>33</v>
      </c>
      <c r="M345" s="9">
        <v>140</v>
      </c>
      <c r="N345">
        <v>100</v>
      </c>
      <c r="O345" s="10">
        <f>Table1[[#This Row],[Precio unitario]]*Table1[[#This Row],[Cantidad]]</f>
        <v>14000</v>
      </c>
      <c r="P345" s="9">
        <v>1372</v>
      </c>
    </row>
    <row r="346" spans="1:16" x14ac:dyDescent="0.35">
      <c r="A346" s="7">
        <v>1400</v>
      </c>
      <c r="B346" s="12">
        <v>43460</v>
      </c>
      <c r="C346" s="7">
        <v>26</v>
      </c>
      <c r="D346" t="s">
        <v>60</v>
      </c>
      <c r="E346" t="s">
        <v>71</v>
      </c>
      <c r="F346" t="s">
        <v>82</v>
      </c>
      <c r="G346" t="s">
        <v>30</v>
      </c>
      <c r="H346" s="8">
        <v>43462</v>
      </c>
      <c r="I346" t="s">
        <v>31</v>
      </c>
      <c r="J346" t="s">
        <v>23</v>
      </c>
      <c r="K346" t="s">
        <v>64</v>
      </c>
      <c r="L346" t="s">
        <v>65</v>
      </c>
      <c r="M346" s="9">
        <v>298.90000000000003</v>
      </c>
      <c r="N346">
        <v>88</v>
      </c>
      <c r="O346" s="10">
        <f>Table1[[#This Row],[Precio unitario]]*Table1[[#This Row],[Cantidad]]</f>
        <v>26303.200000000004</v>
      </c>
      <c r="P346" s="9">
        <v>2577.7136000000005</v>
      </c>
    </row>
    <row r="347" spans="1:16" x14ac:dyDescent="0.35">
      <c r="A347" s="7">
        <v>1401</v>
      </c>
      <c r="B347" s="12">
        <v>43460</v>
      </c>
      <c r="C347" s="7">
        <v>26</v>
      </c>
      <c r="D347" t="s">
        <v>60</v>
      </c>
      <c r="E347" t="s">
        <v>71</v>
      </c>
      <c r="F347" t="s">
        <v>82</v>
      </c>
      <c r="G347" t="s">
        <v>90</v>
      </c>
      <c r="H347" s="8">
        <v>43462</v>
      </c>
      <c r="I347" t="s">
        <v>31</v>
      </c>
      <c r="J347" t="s">
        <v>23</v>
      </c>
      <c r="K347" t="s">
        <v>39</v>
      </c>
      <c r="L347" t="s">
        <v>40</v>
      </c>
      <c r="M347" s="9">
        <v>135.1</v>
      </c>
      <c r="N347">
        <v>46</v>
      </c>
      <c r="O347" s="10">
        <f>Table1[[#This Row],[Precio unitario]]*Table1[[#This Row],[Cantidad]]</f>
        <v>6214.5999999999995</v>
      </c>
      <c r="P347" s="9">
        <v>596.60160000000008</v>
      </c>
    </row>
    <row r="348" spans="1:16" x14ac:dyDescent="0.35">
      <c r="A348" s="7">
        <v>1402</v>
      </c>
      <c r="B348" s="12">
        <v>43460</v>
      </c>
      <c r="C348" s="7">
        <v>26</v>
      </c>
      <c r="D348" t="s">
        <v>60</v>
      </c>
      <c r="E348" t="s">
        <v>71</v>
      </c>
      <c r="F348" t="s">
        <v>82</v>
      </c>
      <c r="G348" t="s">
        <v>91</v>
      </c>
      <c r="H348" s="8">
        <v>43462</v>
      </c>
      <c r="I348" t="s">
        <v>31</v>
      </c>
      <c r="J348" t="s">
        <v>23</v>
      </c>
      <c r="K348" t="s">
        <v>52</v>
      </c>
      <c r="L348" t="s">
        <v>97</v>
      </c>
      <c r="M348" s="9">
        <v>257.59999999999997</v>
      </c>
      <c r="N348">
        <v>93</v>
      </c>
      <c r="O348" s="10">
        <f>Table1[[#This Row],[Precio unitario]]*Table1[[#This Row],[Cantidad]]</f>
        <v>23956.799999999996</v>
      </c>
      <c r="P348" s="9">
        <v>2347.7664</v>
      </c>
    </row>
    <row r="349" spans="1:16" x14ac:dyDescent="0.35">
      <c r="A349" s="7">
        <v>1403</v>
      </c>
      <c r="B349" s="12">
        <v>43463</v>
      </c>
      <c r="C349" s="7">
        <v>29</v>
      </c>
      <c r="D349" t="s">
        <v>34</v>
      </c>
      <c r="E349" t="s">
        <v>76</v>
      </c>
      <c r="F349" t="s">
        <v>84</v>
      </c>
      <c r="G349" t="s">
        <v>92</v>
      </c>
      <c r="H349" s="8">
        <v>43465</v>
      </c>
      <c r="I349" t="s">
        <v>15</v>
      </c>
      <c r="J349" t="s">
        <v>16</v>
      </c>
      <c r="K349" t="s">
        <v>17</v>
      </c>
      <c r="L349" t="s">
        <v>18</v>
      </c>
      <c r="M349" s="9">
        <v>196</v>
      </c>
      <c r="N349">
        <v>96</v>
      </c>
      <c r="O349" s="10">
        <f>Table1[[#This Row],[Precio unitario]]*Table1[[#This Row],[Cantidad]]</f>
        <v>18816</v>
      </c>
      <c r="P349" s="9">
        <v>1975.68</v>
      </c>
    </row>
    <row r="350" spans="1:16" x14ac:dyDescent="0.35">
      <c r="A350" s="7">
        <v>1404</v>
      </c>
      <c r="B350" s="12">
        <v>43440</v>
      </c>
      <c r="C350" s="7">
        <v>6</v>
      </c>
      <c r="D350" t="s">
        <v>41</v>
      </c>
      <c r="E350" t="s">
        <v>78</v>
      </c>
      <c r="F350" t="s">
        <v>86</v>
      </c>
      <c r="G350" t="s">
        <v>30</v>
      </c>
      <c r="H350" s="8">
        <v>43442</v>
      </c>
      <c r="I350" t="s">
        <v>31</v>
      </c>
      <c r="J350" t="s">
        <v>16</v>
      </c>
      <c r="K350" t="s">
        <v>35</v>
      </c>
      <c r="L350" t="s">
        <v>36</v>
      </c>
      <c r="M350" s="9">
        <v>178.5</v>
      </c>
      <c r="N350">
        <v>12</v>
      </c>
      <c r="O350" s="10">
        <f>Table1[[#This Row],[Precio unitario]]*Table1[[#This Row],[Cantidad]]</f>
        <v>2142</v>
      </c>
      <c r="P350" s="9">
        <v>224.91000000000003</v>
      </c>
    </row>
    <row r="351" spans="1:16" x14ac:dyDescent="0.35">
      <c r="A351" s="7">
        <v>1406</v>
      </c>
      <c r="B351" s="12">
        <v>43438</v>
      </c>
      <c r="C351" s="7">
        <v>4</v>
      </c>
      <c r="D351" t="s">
        <v>21</v>
      </c>
      <c r="E351" t="s">
        <v>77</v>
      </c>
      <c r="F351" t="s">
        <v>83</v>
      </c>
      <c r="G351" t="s">
        <v>90</v>
      </c>
      <c r="H351" s="8">
        <v>43440</v>
      </c>
      <c r="I351" t="s">
        <v>22</v>
      </c>
      <c r="J351" t="s">
        <v>23</v>
      </c>
      <c r="K351" t="s">
        <v>66</v>
      </c>
      <c r="L351" t="s">
        <v>48</v>
      </c>
      <c r="M351" s="9">
        <v>1134</v>
      </c>
      <c r="N351">
        <v>38</v>
      </c>
      <c r="O351" s="10">
        <f>Table1[[#This Row],[Precio unitario]]*Table1[[#This Row],[Cantidad]]</f>
        <v>43092</v>
      </c>
      <c r="P351" s="9">
        <v>4093.7400000000002</v>
      </c>
    </row>
    <row r="352" spans="1:16" x14ac:dyDescent="0.35">
      <c r="A352" s="7">
        <v>1407</v>
      </c>
      <c r="B352" s="12">
        <v>43438</v>
      </c>
      <c r="C352" s="7">
        <v>4</v>
      </c>
      <c r="D352" t="s">
        <v>21</v>
      </c>
      <c r="E352" t="s">
        <v>77</v>
      </c>
      <c r="F352" t="s">
        <v>83</v>
      </c>
      <c r="G352" t="s">
        <v>91</v>
      </c>
      <c r="H352" s="8">
        <v>43440</v>
      </c>
      <c r="I352" t="s">
        <v>22</v>
      </c>
      <c r="J352" t="s">
        <v>23</v>
      </c>
      <c r="K352" t="s">
        <v>67</v>
      </c>
      <c r="L352" t="s">
        <v>98</v>
      </c>
      <c r="M352" s="9">
        <v>98</v>
      </c>
      <c r="N352">
        <v>42</v>
      </c>
      <c r="O352" s="10">
        <f>Table1[[#This Row],[Precio unitario]]*Table1[[#This Row],[Cantidad]]</f>
        <v>4116</v>
      </c>
      <c r="P352" s="9">
        <v>407.48400000000004</v>
      </c>
    </row>
    <row r="353" spans="1:16" x14ac:dyDescent="0.35">
      <c r="A353" s="7">
        <v>1409</v>
      </c>
      <c r="B353" s="12">
        <v>43442</v>
      </c>
      <c r="C353" s="7">
        <v>8</v>
      </c>
      <c r="D353" t="s">
        <v>29</v>
      </c>
      <c r="E353" t="s">
        <v>75</v>
      </c>
      <c r="F353" t="s">
        <v>88</v>
      </c>
      <c r="G353" t="s">
        <v>92</v>
      </c>
      <c r="H353" s="8">
        <v>43444</v>
      </c>
      <c r="I353" t="s">
        <v>31</v>
      </c>
      <c r="J353" t="s">
        <v>23</v>
      </c>
      <c r="K353" t="s">
        <v>56</v>
      </c>
      <c r="L353" t="s">
        <v>57</v>
      </c>
      <c r="M353" s="9">
        <v>487.19999999999993</v>
      </c>
      <c r="N353">
        <v>100</v>
      </c>
      <c r="O353" s="10">
        <f>Table1[[#This Row],[Precio unitario]]*Table1[[#This Row],[Cantidad]]</f>
        <v>48719.999999999993</v>
      </c>
      <c r="P353" s="9">
        <v>4823.28</v>
      </c>
    </row>
    <row r="354" spans="1:16" x14ac:dyDescent="0.35">
      <c r="A354" s="7">
        <v>1412</v>
      </c>
      <c r="B354" s="12">
        <v>43437</v>
      </c>
      <c r="C354" s="7">
        <v>3</v>
      </c>
      <c r="D354" t="s">
        <v>37</v>
      </c>
      <c r="E354" t="s">
        <v>69</v>
      </c>
      <c r="F354" t="s">
        <v>87</v>
      </c>
      <c r="G354" t="s">
        <v>30</v>
      </c>
      <c r="H354" s="8">
        <v>43439</v>
      </c>
      <c r="I354" t="s">
        <v>15</v>
      </c>
      <c r="J354" t="s">
        <v>38</v>
      </c>
      <c r="K354" t="s">
        <v>95</v>
      </c>
      <c r="L354" t="s">
        <v>49</v>
      </c>
      <c r="M354" s="9">
        <v>140</v>
      </c>
      <c r="N354">
        <v>89</v>
      </c>
      <c r="O354" s="10">
        <f>Table1[[#This Row],[Precio unitario]]*Table1[[#This Row],[Cantidad]]</f>
        <v>12460</v>
      </c>
      <c r="P354" s="9">
        <v>1221.08</v>
      </c>
    </row>
    <row r="355" spans="1:16" x14ac:dyDescent="0.35">
      <c r="A355" s="7">
        <v>1413</v>
      </c>
      <c r="B355" s="12">
        <v>43437</v>
      </c>
      <c r="C355" s="7">
        <v>3</v>
      </c>
      <c r="D355" t="s">
        <v>37</v>
      </c>
      <c r="E355" t="s">
        <v>69</v>
      </c>
      <c r="F355" t="s">
        <v>87</v>
      </c>
      <c r="G355" t="s">
        <v>90</v>
      </c>
      <c r="H355" s="8">
        <v>43439</v>
      </c>
      <c r="I355" t="s">
        <v>15</v>
      </c>
      <c r="J355" t="s">
        <v>38</v>
      </c>
      <c r="K355" t="s">
        <v>42</v>
      </c>
      <c r="L355" t="s">
        <v>43</v>
      </c>
      <c r="M355" s="9">
        <v>560</v>
      </c>
      <c r="N355">
        <v>12</v>
      </c>
      <c r="O355" s="10">
        <f>Table1[[#This Row],[Precio unitario]]*Table1[[#This Row],[Cantidad]]</f>
        <v>6720</v>
      </c>
      <c r="P355" s="9">
        <v>651.84</v>
      </c>
    </row>
    <row r="356" spans="1:16" x14ac:dyDescent="0.35">
      <c r="A356" s="7">
        <v>1417</v>
      </c>
      <c r="B356" s="12">
        <v>43444</v>
      </c>
      <c r="C356" s="7">
        <v>10</v>
      </c>
      <c r="D356" t="s">
        <v>45</v>
      </c>
      <c r="E356" t="s">
        <v>73</v>
      </c>
      <c r="F356" t="s">
        <v>85</v>
      </c>
      <c r="G356" t="s">
        <v>91</v>
      </c>
      <c r="H356" s="8">
        <v>43446</v>
      </c>
      <c r="I356" t="s">
        <v>15</v>
      </c>
      <c r="J356" t="s">
        <v>23</v>
      </c>
      <c r="K356" t="s">
        <v>58</v>
      </c>
      <c r="L356" t="s">
        <v>20</v>
      </c>
      <c r="M356" s="9">
        <v>140</v>
      </c>
      <c r="N356">
        <v>97</v>
      </c>
      <c r="O356" s="10">
        <f>Table1[[#This Row],[Precio unitario]]*Table1[[#This Row],[Cantidad]]</f>
        <v>13580</v>
      </c>
      <c r="P356" s="9">
        <v>1412.3200000000002</v>
      </c>
    </row>
    <row r="357" spans="1:16" x14ac:dyDescent="0.35">
      <c r="A357" s="7">
        <v>1419</v>
      </c>
      <c r="B357" s="12">
        <v>43444</v>
      </c>
      <c r="C357" s="7">
        <v>10</v>
      </c>
      <c r="D357" t="s">
        <v>45</v>
      </c>
      <c r="E357" t="s">
        <v>73</v>
      </c>
      <c r="F357" t="s">
        <v>85</v>
      </c>
      <c r="G357" t="s">
        <v>92</v>
      </c>
      <c r="H357" s="8"/>
      <c r="I357" t="s">
        <v>22</v>
      </c>
      <c r="K357" t="s">
        <v>19</v>
      </c>
      <c r="L357" t="s">
        <v>20</v>
      </c>
      <c r="M357" s="9">
        <v>49</v>
      </c>
      <c r="N357">
        <v>53</v>
      </c>
      <c r="O357" s="10">
        <f>Table1[[#This Row],[Precio unitario]]*Table1[[#This Row],[Cantidad]]</f>
        <v>2597</v>
      </c>
      <c r="P357" s="9">
        <v>246.71499999999997</v>
      </c>
    </row>
    <row r="358" spans="1:16" x14ac:dyDescent="0.35">
      <c r="A358" s="7">
        <v>1420</v>
      </c>
      <c r="B358" s="12">
        <v>43445</v>
      </c>
      <c r="C358" s="7">
        <v>11</v>
      </c>
      <c r="D358" t="s">
        <v>50</v>
      </c>
      <c r="E358" t="s">
        <v>71</v>
      </c>
      <c r="F358" t="s">
        <v>82</v>
      </c>
      <c r="G358" t="s">
        <v>30</v>
      </c>
      <c r="H358" s="8"/>
      <c r="I358" t="s">
        <v>31</v>
      </c>
      <c r="K358" t="s">
        <v>42</v>
      </c>
      <c r="L358" t="s">
        <v>43</v>
      </c>
      <c r="M358" s="9">
        <v>560</v>
      </c>
      <c r="N358">
        <v>61</v>
      </c>
      <c r="O358" s="10">
        <f>Table1[[#This Row],[Precio unitario]]*Table1[[#This Row],[Cantidad]]</f>
        <v>34160</v>
      </c>
      <c r="P358" s="9">
        <v>3484.3199999999997</v>
      </c>
    </row>
    <row r="359" spans="1:16" x14ac:dyDescent="0.35">
      <c r="A359" s="7">
        <v>1421</v>
      </c>
      <c r="B359" s="12">
        <v>43435</v>
      </c>
      <c r="C359" s="7">
        <v>1</v>
      </c>
      <c r="D359" t="s">
        <v>51</v>
      </c>
      <c r="E359" t="s">
        <v>80</v>
      </c>
      <c r="F359" t="s">
        <v>88</v>
      </c>
      <c r="G359" t="s">
        <v>90</v>
      </c>
      <c r="H359" s="8"/>
      <c r="I359" t="s">
        <v>31</v>
      </c>
      <c r="K359" t="s">
        <v>52</v>
      </c>
      <c r="L359" t="s">
        <v>97</v>
      </c>
      <c r="M359" s="9">
        <v>257.59999999999997</v>
      </c>
      <c r="N359">
        <v>45</v>
      </c>
      <c r="O359" s="10">
        <f>Table1[[#This Row],[Precio unitario]]*Table1[[#This Row],[Cantidad]]</f>
        <v>11591.999999999998</v>
      </c>
      <c r="P359" s="9">
        <v>1136.0159999999998</v>
      </c>
    </row>
    <row r="360" spans="1:16" x14ac:dyDescent="0.35">
      <c r="A360" s="7">
        <v>1422</v>
      </c>
      <c r="B360" s="12">
        <v>43462</v>
      </c>
      <c r="C360" s="7">
        <v>28</v>
      </c>
      <c r="D360" t="s">
        <v>44</v>
      </c>
      <c r="E360" t="s">
        <v>79</v>
      </c>
      <c r="F360" t="s">
        <v>82</v>
      </c>
      <c r="G360" t="s">
        <v>91</v>
      </c>
      <c r="H360" s="8">
        <v>43464</v>
      </c>
      <c r="I360" t="s">
        <v>31</v>
      </c>
      <c r="J360" t="s">
        <v>23</v>
      </c>
      <c r="K360" t="s">
        <v>28</v>
      </c>
      <c r="L360" t="s">
        <v>18</v>
      </c>
      <c r="M360" s="9">
        <v>644</v>
      </c>
      <c r="N360">
        <v>43</v>
      </c>
      <c r="O360" s="10">
        <f>Table1[[#This Row],[Precio unitario]]*Table1[[#This Row],[Cantidad]]</f>
        <v>27692</v>
      </c>
      <c r="P360" s="9">
        <v>2769.2000000000003</v>
      </c>
    </row>
    <row r="361" spans="1:16" x14ac:dyDescent="0.35">
      <c r="A361" s="7">
        <v>1423</v>
      </c>
      <c r="B361" s="12">
        <v>43443</v>
      </c>
      <c r="C361" s="7">
        <v>9</v>
      </c>
      <c r="D361" t="s">
        <v>53</v>
      </c>
      <c r="E361" t="s">
        <v>72</v>
      </c>
      <c r="F361" t="s">
        <v>89</v>
      </c>
      <c r="G361" t="s">
        <v>92</v>
      </c>
      <c r="H361" s="8">
        <v>43445</v>
      </c>
      <c r="I361" t="s">
        <v>22</v>
      </c>
      <c r="J361" t="s">
        <v>16</v>
      </c>
      <c r="K361" t="s">
        <v>39</v>
      </c>
      <c r="L361" t="s">
        <v>40</v>
      </c>
      <c r="M361" s="9">
        <v>135.1</v>
      </c>
      <c r="N361">
        <v>18</v>
      </c>
      <c r="O361" s="10">
        <f>Table1[[#This Row],[Precio unitario]]*Table1[[#This Row],[Cantidad]]</f>
        <v>2431.7999999999997</v>
      </c>
      <c r="P361" s="9">
        <v>231.02100000000002</v>
      </c>
    </row>
    <row r="362" spans="1:16" x14ac:dyDescent="0.35">
      <c r="A362" s="7">
        <v>1424</v>
      </c>
      <c r="B362" s="12">
        <v>43440</v>
      </c>
      <c r="C362" s="7">
        <v>6</v>
      </c>
      <c r="D362" t="s">
        <v>41</v>
      </c>
      <c r="E362" t="s">
        <v>78</v>
      </c>
      <c r="F362" t="s">
        <v>86</v>
      </c>
      <c r="G362" t="s">
        <v>30</v>
      </c>
      <c r="H362" s="8">
        <v>43442</v>
      </c>
      <c r="I362" t="s">
        <v>15</v>
      </c>
      <c r="J362" t="s">
        <v>23</v>
      </c>
      <c r="K362" t="s">
        <v>35</v>
      </c>
      <c r="L362" t="s">
        <v>36</v>
      </c>
      <c r="M362" s="9">
        <v>178.5</v>
      </c>
      <c r="N362">
        <v>41</v>
      </c>
      <c r="O362" s="10">
        <f>Table1[[#This Row],[Precio unitario]]*Table1[[#This Row],[Cantidad]]</f>
        <v>7318.5</v>
      </c>
      <c r="P362" s="9">
        <v>709.89450000000011</v>
      </c>
    </row>
    <row r="363" spans="1:16" x14ac:dyDescent="0.35">
      <c r="A363" s="7">
        <v>1425</v>
      </c>
      <c r="B363" s="12">
        <v>43442</v>
      </c>
      <c r="C363" s="7">
        <v>8</v>
      </c>
      <c r="D363" t="s">
        <v>29</v>
      </c>
      <c r="E363" t="s">
        <v>75</v>
      </c>
      <c r="F363" t="s">
        <v>88</v>
      </c>
      <c r="G363" t="s">
        <v>90</v>
      </c>
      <c r="H363" s="8">
        <v>43444</v>
      </c>
      <c r="I363" t="s">
        <v>15</v>
      </c>
      <c r="J363" t="s">
        <v>16</v>
      </c>
      <c r="K363" t="s">
        <v>35</v>
      </c>
      <c r="L363" t="s">
        <v>36</v>
      </c>
      <c r="M363" s="9">
        <v>178.5</v>
      </c>
      <c r="N363">
        <v>19</v>
      </c>
      <c r="O363" s="10">
        <f>Table1[[#This Row],[Precio unitario]]*Table1[[#This Row],[Cantidad]]</f>
        <v>3391.5</v>
      </c>
      <c r="P363" s="9">
        <v>335.75850000000003</v>
      </c>
    </row>
    <row r="364" spans="1:16" x14ac:dyDescent="0.35">
      <c r="A364" s="7">
        <v>1426</v>
      </c>
      <c r="B364" s="12">
        <v>43459</v>
      </c>
      <c r="C364" s="7">
        <v>25</v>
      </c>
      <c r="D364" t="s">
        <v>59</v>
      </c>
      <c r="E364" t="s">
        <v>73</v>
      </c>
      <c r="F364" t="s">
        <v>85</v>
      </c>
      <c r="G364" t="s">
        <v>91</v>
      </c>
      <c r="H364" s="8">
        <v>43461</v>
      </c>
      <c r="I364" t="s">
        <v>22</v>
      </c>
      <c r="J364" t="s">
        <v>38</v>
      </c>
      <c r="K364" t="s">
        <v>49</v>
      </c>
      <c r="L364" t="s">
        <v>49</v>
      </c>
      <c r="M364" s="9">
        <v>308</v>
      </c>
      <c r="N364">
        <v>65</v>
      </c>
      <c r="O364" s="10">
        <f>Table1[[#This Row],[Precio unitario]]*Table1[[#This Row],[Cantidad]]</f>
        <v>20020</v>
      </c>
      <c r="P364" s="9">
        <v>1941.94</v>
      </c>
    </row>
    <row r="365" spans="1:16" x14ac:dyDescent="0.35">
      <c r="A365" s="7">
        <v>1427</v>
      </c>
      <c r="B365" s="12">
        <v>43460</v>
      </c>
      <c r="C365" s="7">
        <v>26</v>
      </c>
      <c r="D365" t="s">
        <v>60</v>
      </c>
      <c r="E365" t="s">
        <v>71</v>
      </c>
      <c r="F365" t="s">
        <v>82</v>
      </c>
      <c r="G365" t="s">
        <v>92</v>
      </c>
      <c r="H365" s="8">
        <v>43462</v>
      </c>
      <c r="I365" t="s">
        <v>31</v>
      </c>
      <c r="J365" t="s">
        <v>23</v>
      </c>
      <c r="K365" t="s">
        <v>93</v>
      </c>
      <c r="L365" t="s">
        <v>48</v>
      </c>
      <c r="M365" s="9">
        <v>350</v>
      </c>
      <c r="N365">
        <v>13</v>
      </c>
      <c r="O365" s="10">
        <f>Table1[[#This Row],[Precio unitario]]*Table1[[#This Row],[Cantidad]]</f>
        <v>4550</v>
      </c>
      <c r="P365" s="9">
        <v>450.44999999999993</v>
      </c>
    </row>
    <row r="366" spans="1:16" x14ac:dyDescent="0.35">
      <c r="A366" s="7">
        <v>1428</v>
      </c>
      <c r="B366" s="12">
        <v>43463</v>
      </c>
      <c r="C366" s="7">
        <v>29</v>
      </c>
      <c r="D366" t="s">
        <v>34</v>
      </c>
      <c r="E366" t="s">
        <v>76</v>
      </c>
      <c r="F366" t="s">
        <v>84</v>
      </c>
      <c r="G366" t="s">
        <v>30</v>
      </c>
      <c r="H366" s="8">
        <v>43465</v>
      </c>
      <c r="I366" t="s">
        <v>15</v>
      </c>
      <c r="J366" t="s">
        <v>16</v>
      </c>
      <c r="K366" t="s">
        <v>61</v>
      </c>
      <c r="L366" t="s">
        <v>62</v>
      </c>
      <c r="M366" s="9">
        <v>546</v>
      </c>
      <c r="N366">
        <v>54</v>
      </c>
      <c r="O366" s="10">
        <f>Table1[[#This Row],[Precio unitario]]*Table1[[#This Row],[Cantidad]]</f>
        <v>29484</v>
      </c>
      <c r="P366" s="9">
        <v>3007.3680000000004</v>
      </c>
    </row>
    <row r="367" spans="1:16" x14ac:dyDescent="0.35">
      <c r="A367" s="7">
        <v>1429</v>
      </c>
      <c r="B367" s="12">
        <v>43440</v>
      </c>
      <c r="C367" s="7">
        <v>6</v>
      </c>
      <c r="D367" t="s">
        <v>41</v>
      </c>
      <c r="E367" t="s">
        <v>78</v>
      </c>
      <c r="F367" t="s">
        <v>86</v>
      </c>
      <c r="G367" t="s">
        <v>90</v>
      </c>
      <c r="H367" s="8">
        <v>43442</v>
      </c>
      <c r="I367" t="s">
        <v>31</v>
      </c>
      <c r="J367" t="s">
        <v>16</v>
      </c>
      <c r="K367" t="s">
        <v>24</v>
      </c>
      <c r="L367" t="s">
        <v>20</v>
      </c>
      <c r="M367" s="9">
        <v>420</v>
      </c>
      <c r="N367">
        <v>33</v>
      </c>
      <c r="O367" s="10">
        <f>Table1[[#This Row],[Precio unitario]]*Table1[[#This Row],[Cantidad]]</f>
        <v>13860</v>
      </c>
      <c r="P367" s="9">
        <v>1330.56</v>
      </c>
    </row>
    <row r="368" spans="1:16" x14ac:dyDescent="0.35">
      <c r="A368" s="7">
        <v>1430</v>
      </c>
      <c r="B368" s="12">
        <v>43440</v>
      </c>
      <c r="C368" s="7">
        <v>6</v>
      </c>
      <c r="D368" t="s">
        <v>41</v>
      </c>
      <c r="E368" t="s">
        <v>78</v>
      </c>
      <c r="F368" t="s">
        <v>86</v>
      </c>
      <c r="G368" t="s">
        <v>91</v>
      </c>
      <c r="H368" s="8">
        <v>43442</v>
      </c>
      <c r="I368" t="s">
        <v>31</v>
      </c>
      <c r="J368" t="s">
        <v>16</v>
      </c>
      <c r="K368" t="s">
        <v>25</v>
      </c>
      <c r="L368" t="s">
        <v>20</v>
      </c>
      <c r="M368" s="9">
        <v>742</v>
      </c>
      <c r="N368">
        <v>34</v>
      </c>
      <c r="O368" s="10">
        <f>Table1[[#This Row],[Precio unitario]]*Table1[[#This Row],[Cantidad]]</f>
        <v>25228</v>
      </c>
      <c r="P368" s="9">
        <v>2598.4840000000004</v>
      </c>
    </row>
    <row r="369" spans="1:16" x14ac:dyDescent="0.35">
      <c r="A369" s="7">
        <v>1431</v>
      </c>
      <c r="B369" s="12">
        <v>43438</v>
      </c>
      <c r="C369" s="7">
        <v>4</v>
      </c>
      <c r="D369" t="s">
        <v>21</v>
      </c>
      <c r="E369" t="s">
        <v>77</v>
      </c>
      <c r="F369" t="s">
        <v>83</v>
      </c>
      <c r="G369" t="s">
        <v>92</v>
      </c>
      <c r="H369" s="8"/>
      <c r="K369" t="s">
        <v>63</v>
      </c>
      <c r="L369" t="s">
        <v>55</v>
      </c>
      <c r="M369" s="9">
        <v>532</v>
      </c>
      <c r="N369">
        <v>59</v>
      </c>
      <c r="O369" s="10">
        <f>Table1[[#This Row],[Precio unitario]]*Table1[[#This Row],[Cantidad]]</f>
        <v>31388</v>
      </c>
      <c r="P369" s="9">
        <v>3170.1880000000001</v>
      </c>
    </row>
    <row r="370" spans="1:16" x14ac:dyDescent="0.35">
      <c r="A370" s="7">
        <v>1432</v>
      </c>
      <c r="B370" s="12">
        <v>43437</v>
      </c>
      <c r="C370" s="7">
        <v>3</v>
      </c>
      <c r="D370" t="s">
        <v>37</v>
      </c>
      <c r="E370" t="s">
        <v>69</v>
      </c>
      <c r="F370" t="s">
        <v>87</v>
      </c>
      <c r="G370" t="s">
        <v>30</v>
      </c>
      <c r="H370" s="8"/>
      <c r="K370" t="s">
        <v>46</v>
      </c>
      <c r="L370" t="s">
        <v>18</v>
      </c>
      <c r="M370" s="9">
        <v>41.86</v>
      </c>
      <c r="N370">
        <v>24</v>
      </c>
      <c r="O370" s="10">
        <f>Table1[[#This Row],[Precio unitario]]*Table1[[#This Row],[Cantidad]]</f>
        <v>1004.64</v>
      </c>
      <c r="P370" s="9">
        <v>99.459360000000004</v>
      </c>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0D514-4AFF-4878-99CD-7EB705C68E7B}">
  <dimension ref="A1:L53"/>
  <sheetViews>
    <sheetView showGridLines="0" tabSelected="1" workbookViewId="0"/>
  </sheetViews>
  <sheetFormatPr baseColWidth="10" defaultRowHeight="14.5" x14ac:dyDescent="0.35"/>
  <cols>
    <col min="1" max="1" width="5.81640625" customWidth="1"/>
    <col min="2" max="2" width="7.81640625" customWidth="1"/>
    <col min="3" max="3" width="3.7265625" customWidth="1"/>
    <col min="4" max="4" width="26.81640625" bestFit="1" customWidth="1"/>
    <col min="5" max="5" width="15.81640625" bestFit="1" customWidth="1"/>
    <col min="7" max="7" width="21.81640625" bestFit="1" customWidth="1"/>
    <col min="8" max="8" width="15.81640625" bestFit="1" customWidth="1"/>
    <col min="9" max="9" width="12.81640625" bestFit="1" customWidth="1"/>
    <col min="10" max="10" width="16.81640625" bestFit="1" customWidth="1"/>
    <col min="11" max="11" width="15.81640625" bestFit="1" customWidth="1"/>
    <col min="12" max="12" width="12.81640625" bestFit="1" customWidth="1"/>
    <col min="13" max="13" width="10.453125" bestFit="1" customWidth="1"/>
    <col min="14" max="27" width="11.453125" bestFit="1" customWidth="1"/>
    <col min="28" max="28" width="10.453125" bestFit="1" customWidth="1"/>
    <col min="29" max="29" width="11.453125" bestFit="1" customWidth="1"/>
    <col min="30" max="30" width="12.81640625" bestFit="1" customWidth="1"/>
    <col min="31" max="32" width="11.453125" bestFit="1" customWidth="1"/>
    <col min="33" max="33" width="10.453125" bestFit="1" customWidth="1"/>
    <col min="34" max="34" width="12.81640625" bestFit="1" customWidth="1"/>
  </cols>
  <sheetData>
    <row r="1" spans="1:12" ht="18.5" x14ac:dyDescent="0.45">
      <c r="A1" s="1" t="s">
        <v>99</v>
      </c>
    </row>
    <row r="2" spans="1:12" x14ac:dyDescent="0.35">
      <c r="A2" s="3" t="s">
        <v>0</v>
      </c>
    </row>
    <row r="3" spans="1:12" x14ac:dyDescent="0.35">
      <c r="A3" s="3"/>
    </row>
    <row r="4" spans="1:12" x14ac:dyDescent="0.35">
      <c r="A4" s="3"/>
    </row>
    <row r="5" spans="1:12" x14ac:dyDescent="0.35">
      <c r="D5" s="13" t="s">
        <v>115</v>
      </c>
      <c r="E5" t="s">
        <v>117</v>
      </c>
      <c r="G5" s="13" t="s">
        <v>117</v>
      </c>
      <c r="H5" s="13" t="s">
        <v>132</v>
      </c>
    </row>
    <row r="6" spans="1:12" x14ac:dyDescent="0.35">
      <c r="D6" s="14" t="s">
        <v>22</v>
      </c>
      <c r="E6" s="16">
        <v>1738886.8</v>
      </c>
      <c r="G6" s="13" t="s">
        <v>115</v>
      </c>
      <c r="H6" t="s">
        <v>91</v>
      </c>
      <c r="I6" t="s">
        <v>30</v>
      </c>
      <c r="J6" t="s">
        <v>92</v>
      </c>
      <c r="K6" t="s">
        <v>90</v>
      </c>
      <c r="L6" t="s">
        <v>116</v>
      </c>
    </row>
    <row r="7" spans="1:12" x14ac:dyDescent="0.35">
      <c r="D7" s="15" t="s">
        <v>39</v>
      </c>
      <c r="E7" s="16">
        <v>42421.4</v>
      </c>
      <c r="G7" s="14" t="s">
        <v>88</v>
      </c>
      <c r="H7" s="16">
        <v>470761.89999999991</v>
      </c>
      <c r="I7" s="16">
        <v>223908.15999999997</v>
      </c>
      <c r="J7" s="16">
        <v>269215.65999999997</v>
      </c>
      <c r="K7" s="16">
        <v>495507.03999999992</v>
      </c>
      <c r="L7" s="16">
        <v>1459392.7599999998</v>
      </c>
    </row>
    <row r="8" spans="1:12" x14ac:dyDescent="0.35">
      <c r="D8" s="15" t="s">
        <v>67</v>
      </c>
      <c r="E8" s="16">
        <v>40376</v>
      </c>
      <c r="G8" s="14" t="s">
        <v>89</v>
      </c>
      <c r="H8" s="16">
        <v>209212.5</v>
      </c>
      <c r="I8" s="16">
        <v>46979.1</v>
      </c>
      <c r="J8" s="16">
        <v>145699.39999999997</v>
      </c>
      <c r="K8" s="16">
        <v>53537.399999999994</v>
      </c>
      <c r="L8" s="16">
        <v>455428.4</v>
      </c>
    </row>
    <row r="9" spans="1:12" x14ac:dyDescent="0.35">
      <c r="D9" s="15" t="s">
        <v>94</v>
      </c>
      <c r="E9" s="16">
        <v>88620</v>
      </c>
      <c r="G9" s="14" t="s">
        <v>84</v>
      </c>
      <c r="H9" s="16">
        <v>40572</v>
      </c>
      <c r="I9" s="16">
        <v>40239.5</v>
      </c>
      <c r="J9" s="16">
        <v>98000</v>
      </c>
      <c r="K9" s="16">
        <v>50095.5</v>
      </c>
      <c r="L9" s="16">
        <v>228907</v>
      </c>
    </row>
    <row r="10" spans="1:12" x14ac:dyDescent="0.35">
      <c r="D10" s="15" t="s">
        <v>19</v>
      </c>
      <c r="E10" s="16">
        <v>22442</v>
      </c>
      <c r="G10" s="14" t="s">
        <v>86</v>
      </c>
      <c r="H10" s="16">
        <v>150752</v>
      </c>
      <c r="I10" s="16">
        <v>108461.5</v>
      </c>
      <c r="J10" s="16">
        <v>192689</v>
      </c>
      <c r="K10" s="16">
        <v>71949.5</v>
      </c>
      <c r="L10" s="16">
        <v>523852</v>
      </c>
    </row>
    <row r="11" spans="1:12" x14ac:dyDescent="0.35">
      <c r="D11" s="15" t="s">
        <v>49</v>
      </c>
      <c r="E11" s="16">
        <v>210672</v>
      </c>
      <c r="G11" s="14" t="s">
        <v>85</v>
      </c>
      <c r="H11" s="16">
        <v>125352.35999999999</v>
      </c>
      <c r="I11" s="16">
        <v>136555.58000000002</v>
      </c>
      <c r="J11" s="16">
        <v>169995</v>
      </c>
      <c r="K11" s="16">
        <v>143427.20000000001</v>
      </c>
      <c r="L11" s="16">
        <v>575330.14</v>
      </c>
    </row>
    <row r="12" spans="1:12" x14ac:dyDescent="0.35">
      <c r="D12" s="15" t="s">
        <v>32</v>
      </c>
      <c r="E12" s="16">
        <v>60922.399999999987</v>
      </c>
      <c r="G12" s="14" t="s">
        <v>82</v>
      </c>
      <c r="H12" s="16">
        <v>232343.71999999997</v>
      </c>
      <c r="I12" s="16">
        <v>413119.13999999996</v>
      </c>
      <c r="J12" s="16">
        <v>336467.46</v>
      </c>
      <c r="K12" s="16">
        <v>331946.29999999993</v>
      </c>
      <c r="L12" s="16">
        <v>1313876.6199999996</v>
      </c>
    </row>
    <row r="13" spans="1:12" x14ac:dyDescent="0.35">
      <c r="D13" s="15" t="s">
        <v>25</v>
      </c>
      <c r="E13" s="16">
        <v>86072</v>
      </c>
      <c r="G13" s="14" t="s">
        <v>83</v>
      </c>
      <c r="H13" s="16">
        <v>196994</v>
      </c>
      <c r="I13" s="16">
        <v>349483.4</v>
      </c>
      <c r="J13" s="16">
        <v>165947.6</v>
      </c>
      <c r="K13" s="16">
        <v>228102</v>
      </c>
      <c r="L13" s="16">
        <v>940527</v>
      </c>
    </row>
    <row r="14" spans="1:12" x14ac:dyDescent="0.35">
      <c r="D14" s="15" t="s">
        <v>93</v>
      </c>
      <c r="E14" s="16">
        <v>123900</v>
      </c>
      <c r="G14" s="14" t="s">
        <v>87</v>
      </c>
      <c r="H14" s="16">
        <v>127281</v>
      </c>
      <c r="I14" s="16">
        <v>183620.64</v>
      </c>
      <c r="J14" s="16">
        <v>35323.68</v>
      </c>
      <c r="K14" s="16">
        <v>246967</v>
      </c>
      <c r="L14" s="16">
        <v>593192.32000000007</v>
      </c>
    </row>
    <row r="15" spans="1:12" x14ac:dyDescent="0.35">
      <c r="D15" s="15" t="s">
        <v>66</v>
      </c>
      <c r="E15" s="16">
        <v>579474</v>
      </c>
      <c r="G15" s="14" t="s">
        <v>116</v>
      </c>
      <c r="H15" s="16">
        <v>1553269.48</v>
      </c>
      <c r="I15" s="16">
        <v>1502367.02</v>
      </c>
      <c r="J15" s="16">
        <v>1413337.8</v>
      </c>
      <c r="K15" s="16">
        <v>1621531.94</v>
      </c>
      <c r="L15" s="16">
        <v>6090506.2400000002</v>
      </c>
    </row>
    <row r="16" spans="1:12" x14ac:dyDescent="0.35">
      <c r="D16" s="15" t="s">
        <v>56</v>
      </c>
      <c r="E16" s="16">
        <v>258215.99999999997</v>
      </c>
    </row>
    <row r="17" spans="4:11" x14ac:dyDescent="0.35">
      <c r="D17" s="15" t="s">
        <v>24</v>
      </c>
      <c r="E17" s="16">
        <v>70980</v>
      </c>
    </row>
    <row r="18" spans="4:11" x14ac:dyDescent="0.35">
      <c r="D18" s="15" t="s">
        <v>54</v>
      </c>
      <c r="E18" s="16">
        <v>154791</v>
      </c>
      <c r="G18" s="13" t="s">
        <v>115</v>
      </c>
      <c r="H18" t="s">
        <v>117</v>
      </c>
      <c r="J18" s="13" t="s">
        <v>115</v>
      </c>
      <c r="K18" t="s">
        <v>117</v>
      </c>
    </row>
    <row r="19" spans="4:11" x14ac:dyDescent="0.35">
      <c r="D19" s="14" t="s">
        <v>15</v>
      </c>
      <c r="E19" s="16">
        <v>1643945.94</v>
      </c>
      <c r="G19" s="14" t="s">
        <v>69</v>
      </c>
      <c r="H19" s="16">
        <v>378075.32</v>
      </c>
      <c r="J19" s="14" t="s">
        <v>119</v>
      </c>
      <c r="K19" s="16">
        <v>1215363.8</v>
      </c>
    </row>
    <row r="20" spans="4:11" x14ac:dyDescent="0.35">
      <c r="D20" s="15" t="s">
        <v>39</v>
      </c>
      <c r="E20" s="16">
        <v>43907.5</v>
      </c>
      <c r="G20" s="14" t="s">
        <v>70</v>
      </c>
      <c r="H20" s="16">
        <v>240856</v>
      </c>
      <c r="J20" s="14" t="s">
        <v>120</v>
      </c>
      <c r="K20" s="16">
        <v>388493.00000000006</v>
      </c>
    </row>
    <row r="21" spans="4:11" x14ac:dyDescent="0.35">
      <c r="D21" s="15" t="s">
        <v>58</v>
      </c>
      <c r="E21" s="16">
        <v>62160</v>
      </c>
      <c r="G21" s="14" t="s">
        <v>71</v>
      </c>
      <c r="H21" s="16">
        <v>702034.61999999988</v>
      </c>
      <c r="J21" s="14" t="s">
        <v>121</v>
      </c>
      <c r="K21" s="16">
        <v>158487.70000000001</v>
      </c>
    </row>
    <row r="22" spans="4:11" x14ac:dyDescent="0.35">
      <c r="D22" s="15" t="s">
        <v>28</v>
      </c>
      <c r="E22" s="16">
        <v>143612</v>
      </c>
      <c r="G22" s="14" t="s">
        <v>79</v>
      </c>
      <c r="H22" s="16">
        <v>611842.00000000012</v>
      </c>
      <c r="J22" s="14" t="s">
        <v>122</v>
      </c>
      <c r="K22" s="16">
        <v>394675.39999999997</v>
      </c>
    </row>
    <row r="23" spans="4:11" x14ac:dyDescent="0.35">
      <c r="D23" s="15" t="s">
        <v>17</v>
      </c>
      <c r="E23" s="16">
        <v>252644</v>
      </c>
      <c r="G23" s="14" t="s">
        <v>72</v>
      </c>
      <c r="H23" s="16">
        <v>455428.4</v>
      </c>
      <c r="J23" s="14" t="s">
        <v>123</v>
      </c>
      <c r="K23" s="16">
        <v>225538.88</v>
      </c>
    </row>
    <row r="24" spans="4:11" x14ac:dyDescent="0.35">
      <c r="D24" s="15" t="s">
        <v>35</v>
      </c>
      <c r="E24" s="16">
        <v>120487.5</v>
      </c>
      <c r="G24" s="14" t="s">
        <v>73</v>
      </c>
      <c r="H24" s="16">
        <v>575330.14</v>
      </c>
      <c r="J24" s="14" t="s">
        <v>124</v>
      </c>
      <c r="K24" s="16">
        <v>401251.2</v>
      </c>
    </row>
    <row r="25" spans="4:11" x14ac:dyDescent="0.35">
      <c r="D25" s="15" t="s">
        <v>19</v>
      </c>
      <c r="E25" s="16">
        <v>5733</v>
      </c>
      <c r="G25" s="14" t="s">
        <v>80</v>
      </c>
      <c r="H25" s="16">
        <v>515759.85999999987</v>
      </c>
      <c r="J25" s="14" t="s">
        <v>125</v>
      </c>
      <c r="K25" s="16">
        <v>548480.79999999993</v>
      </c>
    </row>
    <row r="26" spans="4:11" x14ac:dyDescent="0.35">
      <c r="D26" s="15" t="s">
        <v>61</v>
      </c>
      <c r="E26" s="16">
        <v>97188</v>
      </c>
      <c r="G26" s="14" t="s">
        <v>74</v>
      </c>
      <c r="H26" s="16">
        <v>215117</v>
      </c>
      <c r="J26" s="14" t="s">
        <v>126</v>
      </c>
      <c r="K26" s="16">
        <v>381598.7</v>
      </c>
    </row>
    <row r="27" spans="4:11" x14ac:dyDescent="0.35">
      <c r="D27" s="15" t="s">
        <v>32</v>
      </c>
      <c r="E27" s="16">
        <v>71355.199999999997</v>
      </c>
      <c r="G27" s="14" t="s">
        <v>75</v>
      </c>
      <c r="H27" s="16">
        <v>702776.9</v>
      </c>
      <c r="J27" s="14" t="s">
        <v>127</v>
      </c>
      <c r="K27" s="16">
        <v>326030.88</v>
      </c>
    </row>
    <row r="28" spans="4:11" x14ac:dyDescent="0.35">
      <c r="D28" s="15" t="s">
        <v>95</v>
      </c>
      <c r="E28" s="16">
        <v>73220</v>
      </c>
      <c r="G28" s="14" t="s">
        <v>76</v>
      </c>
      <c r="H28" s="16">
        <v>228907</v>
      </c>
      <c r="J28" s="14" t="s">
        <v>128</v>
      </c>
      <c r="K28" s="16">
        <v>352691.5</v>
      </c>
    </row>
    <row r="29" spans="4:11" x14ac:dyDescent="0.35">
      <c r="D29" s="15" t="s">
        <v>42</v>
      </c>
      <c r="E29" s="16">
        <v>707280</v>
      </c>
      <c r="G29" s="14" t="s">
        <v>77</v>
      </c>
      <c r="H29" s="16">
        <v>940527</v>
      </c>
      <c r="J29" s="14" t="s">
        <v>129</v>
      </c>
      <c r="K29" s="16">
        <v>609850.22</v>
      </c>
    </row>
    <row r="30" spans="4:11" x14ac:dyDescent="0.35">
      <c r="D30" s="15" t="s">
        <v>27</v>
      </c>
      <c r="E30" s="16">
        <v>53424</v>
      </c>
      <c r="G30" s="14" t="s">
        <v>78</v>
      </c>
      <c r="H30" s="16">
        <v>523852</v>
      </c>
      <c r="J30" s="14" t="s">
        <v>130</v>
      </c>
      <c r="K30" s="16">
        <v>345530.5</v>
      </c>
    </row>
    <row r="31" spans="4:11" x14ac:dyDescent="0.35">
      <c r="D31" s="15" t="s">
        <v>46</v>
      </c>
      <c r="E31" s="16">
        <v>12934.740000000002</v>
      </c>
      <c r="G31" s="14" t="s">
        <v>116</v>
      </c>
      <c r="H31" s="16">
        <v>6090506.2400000002</v>
      </c>
      <c r="J31" s="14" t="s">
        <v>131</v>
      </c>
      <c r="K31" s="16">
        <v>742513.66</v>
      </c>
    </row>
    <row r="32" spans="4:11" x14ac:dyDescent="0.35">
      <c r="D32" s="15" t="s">
        <v>118</v>
      </c>
      <c r="E32" s="16"/>
      <c r="J32" s="14" t="s">
        <v>116</v>
      </c>
      <c r="K32" s="16">
        <v>6090506.2399999993</v>
      </c>
    </row>
    <row r="33" spans="4:8" x14ac:dyDescent="0.35">
      <c r="D33" s="14" t="s">
        <v>31</v>
      </c>
      <c r="E33" s="16">
        <v>1904421.8199999998</v>
      </c>
    </row>
    <row r="34" spans="4:8" x14ac:dyDescent="0.35">
      <c r="D34" s="15" t="s">
        <v>64</v>
      </c>
      <c r="E34" s="16">
        <v>186513.60000000003</v>
      </c>
      <c r="G34" s="13" t="s">
        <v>115</v>
      </c>
      <c r="H34" t="s">
        <v>117</v>
      </c>
    </row>
    <row r="35" spans="4:8" x14ac:dyDescent="0.35">
      <c r="D35" s="15" t="s">
        <v>39</v>
      </c>
      <c r="E35" s="16">
        <v>149285.5</v>
      </c>
      <c r="G35" s="14" t="s">
        <v>22</v>
      </c>
      <c r="H35" s="16">
        <v>1738886.8</v>
      </c>
    </row>
    <row r="36" spans="4:8" x14ac:dyDescent="0.35">
      <c r="D36" s="15" t="s">
        <v>28</v>
      </c>
      <c r="E36" s="16">
        <v>385112</v>
      </c>
      <c r="G36" s="14" t="s">
        <v>15</v>
      </c>
      <c r="H36" s="16">
        <v>1643945.94</v>
      </c>
    </row>
    <row r="37" spans="4:8" x14ac:dyDescent="0.35">
      <c r="D37" s="15" t="s">
        <v>52</v>
      </c>
      <c r="E37" s="16">
        <v>356518.39999999997</v>
      </c>
      <c r="G37" s="14" t="s">
        <v>31</v>
      </c>
      <c r="H37" s="16">
        <v>1904421.8200000008</v>
      </c>
    </row>
    <row r="38" spans="4:8" x14ac:dyDescent="0.35">
      <c r="D38" s="15" t="s">
        <v>35</v>
      </c>
      <c r="E38" s="16">
        <v>129234</v>
      </c>
      <c r="G38" s="14" t="s">
        <v>118</v>
      </c>
      <c r="H38" s="16">
        <v>803251.68</v>
      </c>
    </row>
    <row r="39" spans="4:8" x14ac:dyDescent="0.35">
      <c r="D39" s="15" t="s">
        <v>19</v>
      </c>
      <c r="E39" s="16">
        <v>23618</v>
      </c>
      <c r="G39" s="14" t="s">
        <v>116</v>
      </c>
      <c r="H39" s="16">
        <v>6090506.2400000002</v>
      </c>
    </row>
    <row r="40" spans="4:8" x14ac:dyDescent="0.35">
      <c r="D40" s="15" t="s">
        <v>32</v>
      </c>
      <c r="E40" s="16">
        <v>45852.799999999996</v>
      </c>
    </row>
    <row r="41" spans="4:8" x14ac:dyDescent="0.35">
      <c r="D41" s="15" t="s">
        <v>25</v>
      </c>
      <c r="E41" s="16">
        <v>47488</v>
      </c>
    </row>
    <row r="42" spans="4:8" x14ac:dyDescent="0.35">
      <c r="D42" s="15" t="s">
        <v>93</v>
      </c>
      <c r="E42" s="16">
        <v>18200</v>
      </c>
    </row>
    <row r="43" spans="4:8" x14ac:dyDescent="0.35">
      <c r="D43" s="15" t="s">
        <v>56</v>
      </c>
      <c r="E43" s="16">
        <v>205598.39999999997</v>
      </c>
    </row>
    <row r="44" spans="4:8" x14ac:dyDescent="0.35">
      <c r="D44" s="15" t="s">
        <v>24</v>
      </c>
      <c r="E44" s="16">
        <v>73500</v>
      </c>
    </row>
    <row r="45" spans="4:8" x14ac:dyDescent="0.35">
      <c r="D45" s="15" t="s">
        <v>42</v>
      </c>
      <c r="E45" s="16">
        <v>258720</v>
      </c>
    </row>
    <row r="46" spans="4:8" x14ac:dyDescent="0.35">
      <c r="D46" s="15" t="s">
        <v>46</v>
      </c>
      <c r="E46" s="16">
        <v>24781.119999999995</v>
      </c>
    </row>
    <row r="47" spans="4:8" x14ac:dyDescent="0.35">
      <c r="D47" s="15" t="s">
        <v>118</v>
      </c>
      <c r="E47" s="16"/>
    </row>
    <row r="48" spans="4:8" x14ac:dyDescent="0.35">
      <c r="D48" s="14" t="s">
        <v>118</v>
      </c>
      <c r="E48" s="16">
        <v>803251.68</v>
      </c>
    </row>
    <row r="49" spans="4:5" x14ac:dyDescent="0.35">
      <c r="D49" s="15" t="s">
        <v>28</v>
      </c>
      <c r="E49" s="16">
        <v>528080</v>
      </c>
    </row>
    <row r="50" spans="4:5" x14ac:dyDescent="0.35">
      <c r="D50" s="15" t="s">
        <v>63</v>
      </c>
      <c r="E50" s="16">
        <v>127680</v>
      </c>
    </row>
    <row r="51" spans="4:5" x14ac:dyDescent="0.35">
      <c r="D51" s="15" t="s">
        <v>27</v>
      </c>
      <c r="E51" s="16">
        <v>118692</v>
      </c>
    </row>
    <row r="52" spans="4:5" x14ac:dyDescent="0.35">
      <c r="D52" s="15" t="s">
        <v>46</v>
      </c>
      <c r="E52" s="16">
        <v>28799.679999999997</v>
      </c>
    </row>
    <row r="53" spans="4:5" x14ac:dyDescent="0.35">
      <c r="D53" s="14" t="s">
        <v>116</v>
      </c>
      <c r="E53" s="16">
        <v>6090506.2400000002</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F74FC-62BB-47ED-9AF0-5F4180B5CEA8}">
  <dimension ref="A1:R15"/>
  <sheetViews>
    <sheetView showGridLines="0" zoomScale="70" zoomScaleNormal="70" workbookViewId="0"/>
  </sheetViews>
  <sheetFormatPr baseColWidth="10" defaultRowHeight="14.5" x14ac:dyDescent="0.35"/>
  <cols>
    <col min="8" max="8" width="15.1796875" customWidth="1"/>
    <col min="15" max="15" width="11.453125" customWidth="1"/>
    <col min="16" max="16" width="9.54296875" customWidth="1"/>
    <col min="18" max="18" width="14.81640625" customWidth="1"/>
  </cols>
  <sheetData>
    <row r="1" spans="1:18" ht="18.5" x14ac:dyDescent="0.45">
      <c r="Q1" s="18" t="s">
        <v>0</v>
      </c>
    </row>
    <row r="2" spans="1:18" ht="18.5" x14ac:dyDescent="0.45">
      <c r="A2" s="1" t="s">
        <v>99</v>
      </c>
      <c r="R2" s="19">
        <f ca="1">TODAY()</f>
        <v>46176</v>
      </c>
    </row>
    <row r="3" spans="1:18" ht="18.5" x14ac:dyDescent="0.45">
      <c r="A3" s="1"/>
    </row>
    <row r="4" spans="1:18" ht="18.5" x14ac:dyDescent="0.45">
      <c r="C4" s="17"/>
    </row>
    <row r="14" spans="1:18" ht="15.5" x14ac:dyDescent="0.35">
      <c r="R14" s="21">
        <f>GETPIVOTDATA("Ingresos",Tablas!$G$5)</f>
        <v>6090506.2400000002</v>
      </c>
    </row>
    <row r="15" spans="1:18" x14ac:dyDescent="0.35">
      <c r="R15" s="2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4E6AC-9736-4397-95AC-EF814D034D2E}">
  <dimension ref="B1:N4"/>
  <sheetViews>
    <sheetView workbookViewId="0">
      <selection activeCell="B3" sqref="B3"/>
    </sheetView>
  </sheetViews>
  <sheetFormatPr baseColWidth="10" defaultRowHeight="14.5" x14ac:dyDescent="0.35"/>
  <sheetData>
    <row r="1" spans="2:14" x14ac:dyDescent="0.35">
      <c r="M1" s="2"/>
      <c r="N1" s="2"/>
    </row>
    <row r="2" spans="2:14" ht="18.5" x14ac:dyDescent="0.45">
      <c r="B2" s="1" t="s">
        <v>99</v>
      </c>
      <c r="M2" s="2"/>
      <c r="N2" s="2"/>
    </row>
    <row r="3" spans="2:14" x14ac:dyDescent="0.35">
      <c r="B3" s="3" t="s">
        <v>0</v>
      </c>
      <c r="M3" s="2"/>
      <c r="N3" s="2"/>
    </row>
    <row r="4" spans="2:14" x14ac:dyDescent="0.35">
      <c r="M4" s="2"/>
      <c r="N4"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6449D-8157-4C53-BB00-8158675087B8}">
  <dimension ref="C3:F9"/>
  <sheetViews>
    <sheetView workbookViewId="0">
      <selection activeCell="E10" sqref="E10"/>
    </sheetView>
  </sheetViews>
  <sheetFormatPr baseColWidth="10" defaultRowHeight="14.5" x14ac:dyDescent="0.35"/>
  <sheetData>
    <row r="3" spans="3:6" x14ac:dyDescent="0.35">
      <c r="C3" t="s">
        <v>100</v>
      </c>
    </row>
    <row r="4" spans="3:6" x14ac:dyDescent="0.35">
      <c r="C4" t="s">
        <v>101</v>
      </c>
    </row>
    <row r="5" spans="3:6" x14ac:dyDescent="0.35">
      <c r="C5" t="s">
        <v>102</v>
      </c>
      <c r="F5" t="s">
        <v>103</v>
      </c>
    </row>
    <row r="6" spans="3:6" x14ac:dyDescent="0.35">
      <c r="C6" t="s">
        <v>104</v>
      </c>
      <c r="F6" t="s">
        <v>105</v>
      </c>
    </row>
    <row r="8" spans="3:6" x14ac:dyDescent="0.35">
      <c r="C8" t="s">
        <v>106</v>
      </c>
    </row>
    <row r="9" spans="3:6" x14ac:dyDescent="0.35">
      <c r="C9" t="s">
        <v>107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12C6-C113-49D2-BB5B-98CFB0FDC330}">
  <dimension ref="C4:H16"/>
  <sheetViews>
    <sheetView workbookViewId="0">
      <selection activeCell="C7" sqref="C7:E14"/>
    </sheetView>
  </sheetViews>
  <sheetFormatPr baseColWidth="10" defaultRowHeight="14.5" x14ac:dyDescent="0.35"/>
  <cols>
    <col min="3" max="3" width="17.453125" customWidth="1"/>
  </cols>
  <sheetData>
    <row r="4" spans="3:8" x14ac:dyDescent="0.35">
      <c r="C4" t="s">
        <v>108</v>
      </c>
    </row>
    <row r="5" spans="3:8" x14ac:dyDescent="0.35">
      <c r="C5" t="s">
        <v>109</v>
      </c>
    </row>
    <row r="7" spans="3:8" x14ac:dyDescent="0.35">
      <c r="C7" t="s">
        <v>110</v>
      </c>
      <c r="F7" t="s">
        <v>113</v>
      </c>
      <c r="H7" t="s">
        <v>114</v>
      </c>
    </row>
    <row r="9" spans="3:8" x14ac:dyDescent="0.35">
      <c r="C9" t="s">
        <v>111</v>
      </c>
    </row>
    <row r="10" spans="3:8" x14ac:dyDescent="0.35">
      <c r="C10" t="s">
        <v>112</v>
      </c>
    </row>
    <row r="12" spans="3:8" x14ac:dyDescent="0.35">
      <c r="C12" s="11" t="s">
        <v>3</v>
      </c>
    </row>
    <row r="13" spans="3:8" x14ac:dyDescent="0.35">
      <c r="C13" s="11" t="s">
        <v>81</v>
      </c>
    </row>
    <row r="14" spans="3:8" x14ac:dyDescent="0.35">
      <c r="C14" s="11" t="s">
        <v>5</v>
      </c>
    </row>
    <row r="16" spans="3:8" x14ac:dyDescent="0.35">
      <c r="C16" s="11" t="s">
        <v>3</v>
      </c>
      <c r="D16" s="11" t="s">
        <v>81</v>
      </c>
      <c r="E16" s="1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Menu</vt:lpstr>
      <vt:lpstr>Datos</vt:lpstr>
      <vt:lpstr>Tablas</vt:lpstr>
      <vt:lpstr>Informe</vt:lpstr>
      <vt:lpstr>Hoja1</vt:lpstr>
      <vt:lpstr>Ejercicio</vt:lpstr>
      <vt:lpstr>combinación de correspondencia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de la peña Oshea</dc:creator>
  <cp:lastModifiedBy>Verónica Hernández Alonso</cp:lastModifiedBy>
  <dcterms:created xsi:type="dcterms:W3CDTF">2020-01-30T22:05:42Z</dcterms:created>
  <dcterms:modified xsi:type="dcterms:W3CDTF">2026-06-03T10:56:03Z</dcterms:modified>
</cp:coreProperties>
</file>